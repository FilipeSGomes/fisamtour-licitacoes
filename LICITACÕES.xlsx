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4º RCC - RS" sheetId="1" r:id="rId5"/>
    <sheet state="hidden" name="TUNAS - PR" sheetId="2" r:id="rId6"/>
    <sheet state="hidden" name="6º RCC - RS" sheetId="3" r:id="rId7"/>
    <sheet state="hidden" name="13º RCM - SP" sheetId="4" r:id="rId8"/>
    <sheet state="hidden" name="Página8" sheetId="5" r:id="rId9"/>
    <sheet state="visible" name="CAIS LINS - SP" sheetId="6" r:id="rId10"/>
    <sheet state="visible" name="TJ VITORIA - ES" sheetId="7" r:id="rId11"/>
    <sheet state="visible" name="COREN -MA" sheetId="8" r:id="rId12"/>
  </sheets>
  <definedNames/>
  <calcPr/>
</workbook>
</file>

<file path=xl/sharedStrings.xml><?xml version="1.0" encoding="utf-8"?>
<sst xmlns="http://schemas.openxmlformats.org/spreadsheetml/2006/main" count="1044" uniqueCount="328">
  <si>
    <t>ESTAMOS OFERENCENDO DESCONTO DE 40,01% EM TODAS AS PASSSAGENS, USAR CALCULADORA A BAIXO PARA SIMPLIFICAR ORCAMENTO</t>
  </si>
  <si>
    <t>lance</t>
  </si>
  <si>
    <t>PRC AUMENTO</t>
  </si>
  <si>
    <t>OBJETIVO</t>
  </si>
  <si>
    <t>CUSTO</t>
  </si>
  <si>
    <t>VLR REAL</t>
  </si>
  <si>
    <t>VLR DESCONTO</t>
  </si>
  <si>
    <t>VLR TOTAL</t>
  </si>
  <si>
    <t>VLT OBJET</t>
  </si>
  <si>
    <t>VLR ACRESCIMO</t>
  </si>
  <si>
    <t>LUCRO</t>
  </si>
  <si>
    <t>quantidade pessoa</t>
  </si>
  <si>
    <t>TOTAL P PESSOA</t>
  </si>
  <si>
    <t xml:space="preserve">SOLICITACAO </t>
  </si>
  <si>
    <t>NOME</t>
  </si>
  <si>
    <t>DT NASCIMENTO</t>
  </si>
  <si>
    <t xml:space="preserve">CPF </t>
  </si>
  <si>
    <t>IDA</t>
  </si>
  <si>
    <t>DESTINO</t>
  </si>
  <si>
    <t>DATA IDA</t>
  </si>
  <si>
    <t>DATA VOLTA</t>
  </si>
  <si>
    <t>VENDA VLR</t>
  </si>
  <si>
    <t>Douglas De Souza Guerreiro</t>
  </si>
  <si>
    <t>057.372.039-80</t>
  </si>
  <si>
    <t>IGU</t>
  </si>
  <si>
    <t>CWB</t>
  </si>
  <si>
    <t>Adriano Pereira Xavier</t>
  </si>
  <si>
    <t>04520613930</t>
  </si>
  <si>
    <t>BSB</t>
  </si>
  <si>
    <t xml:space="preserve">Amailson Mateus dos Santos de jesus </t>
  </si>
  <si>
    <t xml:space="preserve">Daniel Sikora </t>
  </si>
  <si>
    <t xml:space="preserve">Denise de Fatima dos Santos </t>
  </si>
  <si>
    <t>Eroildes de Jesus Burkner</t>
  </si>
  <si>
    <t>Mariza Gonçalves dos Reis Araujo</t>
  </si>
  <si>
    <t xml:space="preserve">Josilene Bonete de Faria </t>
  </si>
  <si>
    <t>Kauan Ariel De Souza Bomfim</t>
  </si>
  <si>
    <t>Miriam de Fátima Neres</t>
  </si>
  <si>
    <t>Jair de Oliveira Pereira</t>
  </si>
  <si>
    <t>25763200 Passagens,</t>
  </si>
  <si>
    <t>100 idas e 100</t>
  </si>
  <si>
    <t>voltas200R$R$</t>
  </si>
  <si>
    <t>TOTAL:R$R$</t>
  </si>
  <si>
    <t xml:space="preserve">DATA SOLICITACAO </t>
  </si>
  <si>
    <t>DATA CHEGADA</t>
  </si>
  <si>
    <t>DE</t>
  </si>
  <si>
    <t>PARA</t>
  </si>
  <si>
    <t>HORARIO SAIDA</t>
  </si>
  <si>
    <t>HORARIO CHEGADA</t>
  </si>
  <si>
    <t>ASSENTO</t>
  </si>
  <si>
    <t>BILHETE</t>
  </si>
  <si>
    <t>CLASSE</t>
  </si>
  <si>
    <t>COLABORADOR</t>
  </si>
  <si>
    <t>CPF</t>
  </si>
  <si>
    <t>DT NASC</t>
  </si>
  <si>
    <t xml:space="preserve">VALOR </t>
  </si>
  <si>
    <t>PERCENTIL</t>
  </si>
  <si>
    <t>Pago</t>
  </si>
  <si>
    <t>ALEGRETTE</t>
  </si>
  <si>
    <t>PORTO ALEGRE</t>
  </si>
  <si>
    <t>10065308799462</t>
  </si>
  <si>
    <t>LEITO</t>
  </si>
  <si>
    <t>LUIZ GUSTAVO GONÇALVES DA SILVA</t>
  </si>
  <si>
    <t>216.767.587-98</t>
  </si>
  <si>
    <t>10065308799392</t>
  </si>
  <si>
    <t>LOHAN WELLINGTON ROGACIANO DA SILVA</t>
  </si>
  <si>
    <t>184.390.037-81</t>
  </si>
  <si>
    <t>10065308799453</t>
  </si>
  <si>
    <t>JOSÉ CARLOS ALVES DE SANTA ROSA</t>
  </si>
  <si>
    <t>711.275.044-01</t>
  </si>
  <si>
    <t>SAO PAULO TIETE</t>
  </si>
  <si>
    <t>010285313128</t>
  </si>
  <si>
    <t>LEITO-CAMA</t>
  </si>
  <si>
    <t>010285313129</t>
  </si>
  <si>
    <t>010285313130</t>
  </si>
  <si>
    <t>TAUBATE</t>
  </si>
  <si>
    <t>010227540217</t>
  </si>
  <si>
    <t>CONVENCIONAL</t>
  </si>
  <si>
    <t>010227540216</t>
  </si>
  <si>
    <t>010227540215</t>
  </si>
  <si>
    <t>TOTAL</t>
  </si>
  <si>
    <t>Sim</t>
  </si>
  <si>
    <t>DATA</t>
  </si>
  <si>
    <t>VALOR</t>
  </si>
  <si>
    <t>CAMPINAS</t>
  </si>
  <si>
    <t>TRES CORACOES</t>
  </si>
  <si>
    <t>pago</t>
  </si>
  <si>
    <t>PIRASSUNUNGA</t>
  </si>
  <si>
    <t>TIETE</t>
  </si>
  <si>
    <t>010008502928</t>
  </si>
  <si>
    <t>GABRIEL ALVES MOREIRA</t>
  </si>
  <si>
    <t>146.734.667-56</t>
  </si>
  <si>
    <t>010008502932</t>
  </si>
  <si>
    <t>MATEUS DA SILVA VALERIO</t>
  </si>
  <si>
    <t>176.791.447-45</t>
  </si>
  <si>
    <t>010008503000</t>
  </si>
  <si>
    <t>VICTOR HUGO BARROS DASINGER</t>
  </si>
  <si>
    <t>172.512.107-70</t>
  </si>
  <si>
    <t>010008503001</t>
  </si>
  <si>
    <t>GABRIEL PAULO DA SILVA</t>
  </si>
  <si>
    <t>164.408.617-43</t>
  </si>
  <si>
    <t>010008502929</t>
  </si>
  <si>
    <t>THEO CASINI ROCHA</t>
  </si>
  <si>
    <t>192.455.347-31</t>
  </si>
  <si>
    <t>010008502935</t>
  </si>
  <si>
    <t>JUAN PABLO DE CARVALHO ROCHO</t>
  </si>
  <si>
    <t>711.524.794-31</t>
  </si>
  <si>
    <t>010008502934</t>
  </si>
  <si>
    <t>BRUNO CORDEIRO NEVES</t>
  </si>
  <si>
    <t>146.647.817-92</t>
  </si>
  <si>
    <t>010008502933</t>
  </si>
  <si>
    <t>RAFAEL CAETANO COSTA</t>
  </si>
  <si>
    <t>162.084.366-80</t>
  </si>
  <si>
    <t>010008503002</t>
  </si>
  <si>
    <t>MATEUS PEREIRA SILVA</t>
  </si>
  <si>
    <t>133.834.544-36</t>
  </si>
  <si>
    <t>010008502931</t>
  </si>
  <si>
    <t>CRISTOFER DA SILVA PEREIRA</t>
  </si>
  <si>
    <t>135.374.767-01</t>
  </si>
  <si>
    <t>010008503003</t>
  </si>
  <si>
    <t>PEDRO LEONEL BASTOS</t>
  </si>
  <si>
    <t>160.738.187-77</t>
  </si>
  <si>
    <t>010227542552</t>
  </si>
  <si>
    <t>010227542559</t>
  </si>
  <si>
    <t>010227542550</t>
  </si>
  <si>
    <t>010227542558</t>
  </si>
  <si>
    <t>010227542554</t>
  </si>
  <si>
    <t>010227542557</t>
  </si>
  <si>
    <t>010227542560</t>
  </si>
  <si>
    <t>010227542553</t>
  </si>
  <si>
    <t>010227542556</t>
  </si>
  <si>
    <t>010227542551</t>
  </si>
  <si>
    <t>010227542555</t>
  </si>
  <si>
    <t>010227542565</t>
  </si>
  <si>
    <t>Ok</t>
  </si>
  <si>
    <t>-</t>
  </si>
  <si>
    <t>DATA NASC</t>
  </si>
  <si>
    <t>DT SOLICITAÇÃO</t>
  </si>
  <si>
    <t>REQ</t>
  </si>
  <si>
    <t xml:space="preserve">DE </t>
  </si>
  <si>
    <t>SERVIDOR</t>
  </si>
  <si>
    <t>TELEFONE</t>
  </si>
  <si>
    <t>Custo</t>
  </si>
  <si>
    <t>Lucro</t>
  </si>
  <si>
    <t>PREV PGTO</t>
  </si>
  <si>
    <t>ENVIADO FATURAMENTO</t>
  </si>
  <si>
    <t>LINS - SP</t>
  </si>
  <si>
    <t>SÃO PAULO - SP</t>
  </si>
  <si>
    <t>Amanda Ferreira de Oliveira Santos</t>
  </si>
  <si>
    <t>(14) 99831-5756</t>
  </si>
  <si>
    <t>400.638.988-45</t>
  </si>
  <si>
    <t>Eliana Barbosa Candido Camargo</t>
  </si>
  <si>
    <t>(14) 99677-3727</t>
  </si>
  <si>
    <t>61.824.448-43</t>
  </si>
  <si>
    <t>SIMONE APARECIDA GAMA</t>
  </si>
  <si>
    <t>(14) 35331669</t>
  </si>
  <si>
    <t>277.423.148-51</t>
  </si>
  <si>
    <t>Vanessa da Silva Nascimento</t>
  </si>
  <si>
    <t>RERISON BEZERRA CAMPOS</t>
  </si>
  <si>
    <t>AMANDA FERREIRA DE OLIVIERA SANTOS</t>
  </si>
  <si>
    <t>JULHO</t>
  </si>
  <si>
    <t>Bruna Rodrigues Gimenes Andrade</t>
  </si>
  <si>
    <t>381.669.518-35</t>
  </si>
  <si>
    <t>Leda Simone dos Santos Lelis</t>
  </si>
  <si>
    <t xml:space="preserve"> (14) 35331669</t>
  </si>
  <si>
    <t>110.629.958-21</t>
  </si>
  <si>
    <t>AGOSTO</t>
  </si>
  <si>
    <t>CANCELADA</t>
  </si>
  <si>
    <t xml:space="preserve">JAU - SP </t>
  </si>
  <si>
    <t>Fábio José dos Santos</t>
  </si>
  <si>
    <t>Rérison Bezerra Campos</t>
  </si>
  <si>
    <t>SETEMBRO</t>
  </si>
  <si>
    <t>ALEXANDRE FARIA VENTURA</t>
  </si>
  <si>
    <t>FEVEIRO/2026</t>
  </si>
  <si>
    <t>edpermanente.cflins@gmail.com</t>
  </si>
  <si>
    <t>Marcos Roberto Garcia Sales</t>
  </si>
  <si>
    <t>RH CAIS Clemente Ferreira &lt;rh-caisl@saude.sp.gov.br&gt;</t>
  </si>
  <si>
    <t>PAGO</t>
  </si>
  <si>
    <t>SIM</t>
  </si>
  <si>
    <t xml:space="preserve">DT SOLICITACAO </t>
  </si>
  <si>
    <t>CHECK IN</t>
  </si>
  <si>
    <t>CHECK OUT</t>
  </si>
  <si>
    <t>Nº DIARIAS</t>
  </si>
  <si>
    <t>REFEICOES</t>
  </si>
  <si>
    <t>VLR DIARIA</t>
  </si>
  <si>
    <t>PREV VLR REFEICAO</t>
  </si>
  <si>
    <t>CUSTO HOSPEDAGEM</t>
  </si>
  <si>
    <t>CUSTO REFEIÇÂO</t>
  </si>
  <si>
    <t>CUSTO TT</t>
  </si>
  <si>
    <t>ALICE BIANCHINI</t>
  </si>
  <si>
    <t>ATA</t>
  </si>
  <si>
    <t>LUCIANA LOPES ROCHA</t>
  </si>
  <si>
    <t>DIARIA</t>
  </si>
  <si>
    <t>EDILSON VITORELLI DINIZ LIMA</t>
  </si>
  <si>
    <t>REFEICAO</t>
  </si>
  <si>
    <t>Rafael Alves Esteves</t>
  </si>
  <si>
    <t>Fredie de Souza Didier Junior</t>
  </si>
  <si>
    <t>Emily Karle dos Santos Conceição</t>
  </si>
  <si>
    <t>Miguel Fontes</t>
  </si>
  <si>
    <t>Jair dos Santos Junior</t>
  </si>
  <si>
    <t>Marcelo Elias Naschenweng</t>
  </si>
  <si>
    <t>Franklin Brasil Santos</t>
  </si>
  <si>
    <t>Rafael Guimarães</t>
  </si>
  <si>
    <t xml:space="preserve"> Danilo Cunha Diniz</t>
  </si>
  <si>
    <t>Gilmar Silva Batista</t>
  </si>
  <si>
    <t>Marcos Vinicius Barroso</t>
  </si>
  <si>
    <t xml:space="preserve">Mauro da Fonseca Ellovitch </t>
  </si>
  <si>
    <t>Felipe Soares Damous</t>
  </si>
  <si>
    <t>Renato Cidades Batista</t>
  </si>
  <si>
    <t>Márcia Campos Eurico</t>
  </si>
  <si>
    <t>Flávia Marciano Monteiro</t>
  </si>
  <si>
    <t>Paulo Rogério Bonini</t>
  </si>
  <si>
    <t>Sebastião Luz Brito</t>
  </si>
  <si>
    <t>Nelson Nery Junior</t>
  </si>
  <si>
    <t>OUTUBRO</t>
  </si>
  <si>
    <t>Fabrício Castagna Lunardi</t>
  </si>
  <si>
    <t>NOVEMBRO</t>
  </si>
  <si>
    <t>Beclaute Oliveira Silva</t>
  </si>
  <si>
    <t>Edilson Santana Gonçalves Filho</t>
  </si>
  <si>
    <t>José Rogério Cruz e Tucci</t>
  </si>
  <si>
    <t>Sérgio Luiz Kukina</t>
  </si>
  <si>
    <t xml:space="preserve">NO SHOW </t>
  </si>
  <si>
    <t>Ana Paula Mota da Costa e Silva</t>
  </si>
  <si>
    <t>DEZEMBRO</t>
  </si>
  <si>
    <t>Ana Claudia Brandão de Barros Correia</t>
  </si>
  <si>
    <t>Eduardo Alvares de Carvalho</t>
  </si>
  <si>
    <t>JANEIRO</t>
  </si>
  <si>
    <t>José Faustino Macêdo de Souza Ferreira</t>
  </si>
  <si>
    <t>João Guilherme de Melo Peixoto</t>
  </si>
  <si>
    <t>FEVEREIRO</t>
  </si>
  <si>
    <t>JÉSSICA SILVA DA PAIXÃO</t>
  </si>
  <si>
    <t>PAULO ROGÉRIO BONIN</t>
  </si>
  <si>
    <t>PATRÍCIA CENI</t>
  </si>
  <si>
    <t>Arlindo da Silva Castro</t>
  </si>
  <si>
    <t>FÁBIO WELLINGTON ATAÍDE ALVES</t>
  </si>
  <si>
    <t>JOSEFA FRANCISCA DE AZEVEDO</t>
  </si>
  <si>
    <t>Ministro SÉRGIO LUIZ KUKINA</t>
  </si>
  <si>
    <t>Rodrigo Fontenelle</t>
  </si>
  <si>
    <t>FÁBIO LUCAS DE ALBUQUERQUE LIMA</t>
  </si>
  <si>
    <t>FLÁVIA DA COSTA VIANA</t>
  </si>
  <si>
    <t>ANA CLAUDIA BRANDAO DE BARROS CORREIA</t>
  </si>
  <si>
    <t>Eduardo carvalho</t>
  </si>
  <si>
    <t>Eliane Cristina Martins de Resende</t>
  </si>
  <si>
    <t>ABRIL</t>
  </si>
  <si>
    <t>Mário Goulart Maia</t>
  </si>
  <si>
    <t>Viviane Landin</t>
  </si>
  <si>
    <t>Dr. Alexandre Abrahão</t>
  </si>
  <si>
    <t>Ivana David</t>
  </si>
  <si>
    <t>Denise Duarte Bruno</t>
  </si>
  <si>
    <t>Herbert William Ramos</t>
  </si>
  <si>
    <t>MAIO</t>
  </si>
  <si>
    <t>Dra Camila Varela</t>
  </si>
  <si>
    <t>ANA CLAUDIA BRANDÃO DE BARROS CORREIA</t>
  </si>
  <si>
    <t>DR. CLÊNIO SCHULZE</t>
  </si>
  <si>
    <t>Dr. Alexandre Flexa</t>
  </si>
  <si>
    <t>Dra. Patrícia Corrêa Sanches Lamosa</t>
  </si>
  <si>
    <t>Volgane Oliveira Carvalho</t>
  </si>
  <si>
    <t>Márcia Maria Borba Lins</t>
  </si>
  <si>
    <t>Reginaldo Torres Alves Jr.</t>
  </si>
  <si>
    <t>Wanira Oliveira de Albuquerque</t>
  </si>
  <si>
    <t>MODELO DE VEICULO</t>
  </si>
  <si>
    <t>PLACA</t>
  </si>
  <si>
    <t>SAIDA</t>
  </si>
  <si>
    <t>FRONTIER</t>
  </si>
  <si>
    <t>NUJ 9C55</t>
  </si>
  <si>
    <t>PONTA DA ESPERA</t>
  </si>
  <si>
    <t>LOUREDIR CANTANHEDE</t>
  </si>
  <si>
    <t>02919330330</t>
  </si>
  <si>
    <t>VLR PEDESTRE</t>
  </si>
  <si>
    <t>Milene Barreto Brito</t>
  </si>
  <si>
    <t>816.436.243-34</t>
  </si>
  <si>
    <t>VLR CARRO</t>
  </si>
  <si>
    <t>CUJUPE</t>
  </si>
  <si>
    <t>23/062025</t>
  </si>
  <si>
    <t>BEATRIZ ALMEIDA</t>
  </si>
  <si>
    <t>771.508.483-20</t>
  </si>
  <si>
    <t>emails</t>
  </si>
  <si>
    <t>CASSIA CHAVES LOPES</t>
  </si>
  <si>
    <t>017.528.303-69</t>
  </si>
  <si>
    <t>\</t>
  </si>
  <si>
    <r>
      <rPr>
        <rFont val="Arial"/>
        <color rgb="FF1155CC"/>
        <sz val="11.0"/>
        <u/>
      </rPr>
      <t>administracao@corenma.gov.br</t>
    </r>
    <r>
      <rPr>
        <rFont val="Arial"/>
        <color rgb="FF333333"/>
        <sz val="11.0"/>
      </rPr>
      <t xml:space="preserve">&gt;, </t>
    </r>
    <r>
      <rPr>
        <rFont val="Arial"/>
        <color rgb="FF1155CC"/>
        <sz val="11.0"/>
        <u/>
      </rPr>
      <t>controladoria@corenma.gov.br</t>
    </r>
    <r>
      <rPr>
        <rFont val="Arial"/>
        <color rgb="FF333333"/>
        <sz val="11.0"/>
      </rPr>
      <t xml:space="preserve"> &lt;</t>
    </r>
    <r>
      <rPr>
        <rFont val="Arial"/>
        <color rgb="FF1155CC"/>
        <sz val="11.0"/>
        <u/>
      </rPr>
      <t>controladoria@corenma.gov.br</t>
    </r>
    <r>
      <rPr>
        <rFont val="Arial"/>
        <color rgb="FF333333"/>
        <sz val="11.0"/>
      </rPr>
      <t>&gt;</t>
    </r>
  </si>
  <si>
    <t xml:space="preserve">JONATHAN SILVA DOS SANTOS CAMPOS </t>
  </si>
  <si>
    <t>056.907.183-60</t>
  </si>
  <si>
    <t>Gestão de Contratos</t>
  </si>
  <si>
    <t>MARINA APOLONIO DE BARROS COSTA</t>
  </si>
  <si>
    <t>001.818.263-13</t>
  </si>
  <si>
    <t>&lt;gestaodecontratos@corenma.gov.br&gt;</t>
  </si>
  <si>
    <t>JAIRO MUNIZ DA SILVA</t>
  </si>
  <si>
    <t>036.470.663-54</t>
  </si>
  <si>
    <t>TIGGO 5X</t>
  </si>
  <si>
    <t>ROD 9C57</t>
  </si>
  <si>
    <t>OK</t>
  </si>
  <si>
    <t xml:space="preserve">MILENE BARRETO BRITO </t>
  </si>
  <si>
    <t>ok</t>
  </si>
  <si>
    <t>Deusdede</t>
  </si>
  <si>
    <t>620.782.241-20</t>
  </si>
  <si>
    <t>Telciane Martins Feitosa Rios</t>
  </si>
  <si>
    <t>035.213.903-06</t>
  </si>
  <si>
    <t>Nelciane Mesquita Pinheiro</t>
  </si>
  <si>
    <t>025.214.993-90</t>
  </si>
  <si>
    <t>Maria Jose Gomes</t>
  </si>
  <si>
    <t>281.388.213-53</t>
  </si>
  <si>
    <t>FEVEREIRO, MARCO e ABRIL</t>
  </si>
  <si>
    <t xml:space="preserve">CASSIA CHAVES LOPES </t>
  </si>
  <si>
    <t>01752830369</t>
  </si>
  <si>
    <t>RON9A11</t>
  </si>
  <si>
    <t>Tardelly Souza Sipaúba</t>
  </si>
  <si>
    <t>880.230.013-53</t>
  </si>
  <si>
    <t>Francisca Inacia Cordeiro da Silva</t>
  </si>
  <si>
    <t>404.925.243-00</t>
  </si>
  <si>
    <t xml:space="preserve">Kelly Inaiane Nalva dos Santos Dias </t>
  </si>
  <si>
    <t>004.719.233-03</t>
  </si>
  <si>
    <t>Jaqueline Marques de Oliveira Moucherek</t>
  </si>
  <si>
    <t>856.680.873-87</t>
  </si>
  <si>
    <t>Beatriz Regina Lopes Veras</t>
  </si>
  <si>
    <t>653.384.723-68</t>
  </si>
  <si>
    <t>Francisco Carlos Aguiar Silva Junior</t>
  </si>
  <si>
    <t>031.707.153-05</t>
  </si>
  <si>
    <t>Andrea Sonaira Oliveira Martins</t>
  </si>
  <si>
    <t>007.180.813-23</t>
  </si>
  <si>
    <t>Cassia Lopes Chaves</t>
  </si>
  <si>
    <t>Clailton Ferreira Silva</t>
  </si>
  <si>
    <t>Luana Menezes Fonseca Oliveira</t>
  </si>
  <si>
    <t>02544696397</t>
  </si>
  <si>
    <t>Tamires Lowayne Soares Pinheiro Braga</t>
  </si>
  <si>
    <t>EM ABERTO</t>
  </si>
  <si>
    <t>NÃO</t>
  </si>
  <si>
    <t>JUNHO</t>
  </si>
  <si>
    <t>NOVOS VALORES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</si>
</sst>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[$R$ -416]#,##0.00"/>
    <numFmt numFmtId="165" formatCode="dd/mm/yyyy"/>
    <numFmt numFmtId="166" formatCode="dd/MM/yyyy"/>
    <numFmt numFmtId="167" formatCode="d/m/yyyy"/>
    <numFmt numFmtId="168" formatCode="hh:mm"/>
    <numFmt numFmtId="169" formatCode="dd/mm"/>
    <numFmt numFmtId="170" formatCode="dd.mm.yyyy"/>
    <numFmt numFmtId="171" formatCode="dd/mm/yy"/>
  </numFmts>
  <fonts count="30">
    <font>
      <sz val="10.0"/>
      <color rgb="FF000000"/>
      <name val="Arial"/>
      <scheme val="minor"/>
    </font>
    <font>
      <b/>
      <sz val="13.0"/>
      <color theme="1"/>
      <name val="Arial"/>
      <scheme val="minor"/>
    </font>
    <font>
      <color theme="1"/>
      <name val="Arial"/>
    </font>
    <font>
      <b/>
      <sz val="8.0"/>
      <color rgb="FF333333"/>
      <name val="Arial"/>
    </font>
    <font>
      <color theme="1"/>
      <name val="Sans-serif"/>
    </font>
    <font>
      <color theme="1"/>
      <name val="Arial"/>
      <scheme val="minor"/>
    </font>
    <font>
      <sz val="13.0"/>
      <color rgb="FF495057"/>
      <name val="Nunito"/>
    </font>
    <font>
      <color rgb="FF434343"/>
      <name val="Roboto"/>
    </font>
    <font>
      <b/>
      <color theme="1"/>
      <name val="Arial"/>
      <scheme val="minor"/>
    </font>
    <font>
      <sz val="11.0"/>
      <color rgb="FF333333"/>
      <name val="Arial"/>
    </font>
    <font>
      <color rgb="FF000000"/>
      <name val="Georgia"/>
    </font>
    <font>
      <sz val="11.0"/>
      <color rgb="FF333333"/>
      <name val="-apple-system"/>
    </font>
    <font>
      <color rgb="FF273042"/>
      <name val="Arial"/>
      <scheme val="minor"/>
    </font>
    <font>
      <color rgb="FF000000"/>
      <name val="Arial"/>
      <scheme val="minor"/>
    </font>
    <font/>
    <font>
      <color rgb="FFFF0000"/>
      <name val="Arial"/>
      <scheme val="minor"/>
    </font>
    <font>
      <b/>
      <sz val="11.0"/>
      <color theme="1"/>
      <name val="Arial"/>
      <scheme val="minor"/>
    </font>
    <font>
      <b/>
      <sz val="14.0"/>
      <color theme="1"/>
      <name val="Arial"/>
      <scheme val="minor"/>
    </font>
    <font>
      <sz val="11.0"/>
      <color theme="1"/>
      <name val="Arial"/>
      <scheme val="minor"/>
    </font>
    <font>
      <sz val="11.0"/>
      <color theme="1"/>
      <name val="Arial"/>
    </font>
    <font>
      <b/>
      <sz val="14.0"/>
      <color theme="1"/>
      <name val="Arial"/>
    </font>
    <font>
      <sz val="9.0"/>
      <color rgb="FF000000"/>
      <name val="Arial"/>
    </font>
    <font>
      <sz val="12.0"/>
      <color rgb="FF000000"/>
      <name val="Arial"/>
    </font>
    <font>
      <sz val="12.0"/>
      <color rgb="FF000000"/>
      <name val="Aptos"/>
    </font>
    <font>
      <color rgb="FF222222"/>
      <name val="Arial"/>
    </font>
    <font>
      <u/>
      <sz val="11.0"/>
      <color rgb="FF333333"/>
      <name val="-apple-system"/>
    </font>
    <font>
      <sz val="11.0"/>
      <color rgb="FF888888"/>
      <name val="-apple-system"/>
    </font>
    <font>
      <b/>
      <color rgb="FFFF0000"/>
      <name val="Arial"/>
      <scheme val="minor"/>
    </font>
    <font>
      <b/>
      <color rgb="FF6AA84F"/>
      <name val="Arial"/>
      <scheme val="minor"/>
    </font>
    <font>
      <b/>
      <color rgb="FF93C47D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2F4F7"/>
        <bgColor rgb="FFF2F4F7"/>
      </patternFill>
    </fill>
    <fill>
      <patternFill patternType="solid">
        <fgColor rgb="FFF0F0F0"/>
        <bgColor rgb="FFF0F0F0"/>
      </patternFill>
    </fill>
    <fill>
      <patternFill patternType="solid">
        <fgColor rgb="FFF4CCCC"/>
        <bgColor rgb="FFF4CCCC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2" fontId="3" numFmtId="4" xfId="0" applyAlignment="1" applyFill="1" applyFont="1" applyNumberFormat="1">
      <alignment vertical="bottom"/>
    </xf>
    <xf borderId="0" fillId="0" fontId="2" numFmtId="10" xfId="0" applyAlignment="1" applyFont="1" applyNumberFormat="1">
      <alignment horizontal="right" vertical="bottom"/>
    </xf>
    <xf borderId="1" fillId="0" fontId="4" numFmtId="0" xfId="0" applyAlignment="1" applyBorder="1" applyFont="1">
      <alignment horizontal="right" vertical="bottom"/>
    </xf>
    <xf borderId="0" fillId="0" fontId="2" numFmtId="0" xfId="0" applyAlignment="1" applyFont="1">
      <alignment horizontal="right" vertical="bottom"/>
    </xf>
    <xf borderId="0" fillId="0" fontId="2" numFmtId="10" xfId="0" applyAlignment="1" applyFont="1" applyNumberFormat="1">
      <alignment horizontal="right" readingOrder="0" vertical="bottom"/>
    </xf>
    <xf borderId="0" fillId="0" fontId="5" numFmtId="0" xfId="0" applyFont="1"/>
    <xf borderId="0" fillId="2" fontId="6" numFmtId="164" xfId="0" applyAlignment="1" applyFont="1" applyNumberFormat="1">
      <alignment readingOrder="0"/>
    </xf>
    <xf borderId="0" fillId="0" fontId="2" numFmtId="164" xfId="0" applyAlignment="1" applyFont="1" applyNumberFormat="1">
      <alignment horizontal="right" vertical="bottom"/>
    </xf>
    <xf borderId="0" fillId="0" fontId="5" numFmtId="164" xfId="0" applyAlignment="1" applyFont="1" applyNumberFormat="1">
      <alignment readingOrder="0"/>
    </xf>
    <xf borderId="0" fillId="0" fontId="2" numFmtId="0" xfId="0" applyAlignment="1" applyFont="1">
      <alignment readingOrder="0" vertical="bottom"/>
    </xf>
    <xf borderId="0" fillId="0" fontId="2" numFmtId="164" xfId="0" applyAlignment="1" applyFont="1" applyNumberFormat="1">
      <alignment vertical="bottom"/>
    </xf>
    <xf borderId="0" fillId="0" fontId="2" numFmtId="165" xfId="0" applyAlignment="1" applyFont="1" applyNumberFormat="1">
      <alignment readingOrder="0" vertical="bottom"/>
    </xf>
    <xf borderId="2" fillId="3" fontId="7" numFmtId="0" xfId="0" applyAlignment="1" applyBorder="1" applyFill="1" applyFont="1">
      <alignment shrinkToFit="0" wrapText="0"/>
    </xf>
    <xf borderId="2" fillId="3" fontId="7" numFmtId="14" xfId="0" applyAlignment="1" applyBorder="1" applyFont="1" applyNumberFormat="1">
      <alignment horizontal="right" shrinkToFit="0" wrapText="0"/>
    </xf>
    <xf borderId="0" fillId="0" fontId="5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3" fontId="7" numFmtId="165" xfId="0" applyAlignment="1" applyFont="1" applyNumberFormat="1">
      <alignment readingOrder="0" shrinkToFit="0" vertical="bottom" wrapText="0"/>
    </xf>
    <xf quotePrefix="1" borderId="2" fillId="3" fontId="7" numFmtId="0" xfId="0" applyAlignment="1" applyBorder="1" applyFont="1">
      <alignment shrinkToFit="0" wrapText="0"/>
    </xf>
    <xf borderId="0" fillId="3" fontId="7" numFmtId="0" xfId="0" applyAlignment="1" applyFont="1">
      <alignment readingOrder="0" shrinkToFit="0" vertical="bottom" wrapText="0"/>
    </xf>
    <xf borderId="0" fillId="3" fontId="7" numFmtId="166" xfId="0" applyAlignment="1" applyFont="1" applyNumberFormat="1">
      <alignment horizontal="right" shrinkToFit="0" vertical="bottom" wrapText="0"/>
    </xf>
    <xf borderId="0" fillId="3" fontId="7" numFmtId="0" xfId="0" applyAlignment="1" applyFont="1">
      <alignment horizontal="right" shrinkToFit="0" vertical="bottom" wrapText="0"/>
    </xf>
    <xf borderId="0" fillId="0" fontId="2" numFmtId="167" xfId="0" applyAlignment="1" applyFont="1" applyNumberFormat="1">
      <alignment readingOrder="0" vertical="bottom"/>
    </xf>
    <xf borderId="0" fillId="0" fontId="2" numFmtId="164" xfId="0" applyAlignment="1" applyFont="1" applyNumberFormat="1">
      <alignment readingOrder="0" vertical="bottom"/>
    </xf>
    <xf borderId="0" fillId="0" fontId="5" numFmtId="165" xfId="0" applyAlignment="1" applyFont="1" applyNumberFormat="1">
      <alignment readingOrder="0"/>
    </xf>
    <xf borderId="0" fillId="3" fontId="7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vertical="bottom"/>
    </xf>
    <xf borderId="1" fillId="0" fontId="8" numFmtId="0" xfId="0" applyAlignment="1" applyBorder="1" applyFont="1">
      <alignment readingOrder="0"/>
    </xf>
    <xf borderId="1" fillId="0" fontId="8" numFmtId="164" xfId="0" applyAlignment="1" applyBorder="1" applyFont="1" applyNumberFormat="1">
      <alignment readingOrder="0"/>
    </xf>
    <xf borderId="0" fillId="0" fontId="8" numFmtId="0" xfId="0" applyAlignment="1" applyFont="1">
      <alignment readingOrder="0"/>
    </xf>
    <xf borderId="0" fillId="0" fontId="5" numFmtId="168" xfId="0" applyAlignment="1" applyFont="1" applyNumberFormat="1">
      <alignment readingOrder="0"/>
    </xf>
    <xf borderId="0" fillId="4" fontId="9" numFmtId="49" xfId="0" applyAlignment="1" applyFill="1" applyFont="1" applyNumberFormat="1">
      <alignment readingOrder="0"/>
    </xf>
    <xf borderId="0" fillId="2" fontId="10" numFmtId="0" xfId="0" applyAlignment="1" applyFont="1">
      <alignment readingOrder="0"/>
    </xf>
    <xf borderId="0" fillId="2" fontId="10" numFmtId="165" xfId="0" applyAlignment="1" applyFont="1" applyNumberFormat="1">
      <alignment readingOrder="0"/>
    </xf>
    <xf borderId="0" fillId="0" fontId="5" numFmtId="164" xfId="0" applyFont="1" applyNumberFormat="1"/>
    <xf borderId="0" fillId="0" fontId="5" numFmtId="10" xfId="0" applyFont="1" applyNumberFormat="1"/>
    <xf borderId="0" fillId="4" fontId="11" numFmtId="49" xfId="0" applyAlignment="1" applyFont="1" applyNumberFormat="1">
      <alignment readingOrder="0"/>
    </xf>
    <xf borderId="1" fillId="0" fontId="8" numFmtId="0" xfId="0" applyAlignment="1" applyBorder="1" applyFont="1">
      <alignment horizontal="center" readingOrder="0"/>
    </xf>
    <xf borderId="1" fillId="0" fontId="5" numFmtId="169" xfId="0" applyAlignment="1" applyBorder="1" applyFont="1" applyNumberFormat="1">
      <alignment horizontal="center" readingOrder="0"/>
    </xf>
    <xf borderId="1" fillId="0" fontId="5" numFmtId="0" xfId="0" applyAlignment="1" applyBorder="1" applyFont="1">
      <alignment horizontal="center" readingOrder="0"/>
    </xf>
    <xf borderId="1" fillId="0" fontId="5" numFmtId="164" xfId="0" applyAlignment="1" applyBorder="1" applyFont="1" applyNumberFormat="1">
      <alignment horizontal="center" readingOrder="0"/>
    </xf>
    <xf borderId="0" fillId="0" fontId="5" numFmtId="164" xfId="0" applyAlignment="1" applyFont="1" applyNumberFormat="1">
      <alignment readingOrder="0"/>
    </xf>
    <xf borderId="1" fillId="0" fontId="8" numFmtId="49" xfId="0" applyAlignment="1" applyBorder="1" applyFont="1" applyNumberFormat="1">
      <alignment readingOrder="0"/>
    </xf>
    <xf borderId="0" fillId="0" fontId="12" numFmtId="49" xfId="0" applyAlignment="1" applyFont="1" applyNumberFormat="1">
      <alignment readingOrder="0"/>
    </xf>
    <xf borderId="0" fillId="2" fontId="13" numFmtId="166" xfId="0" applyAlignment="1" applyFont="1" applyNumberFormat="1">
      <alignment readingOrder="0"/>
    </xf>
    <xf borderId="0" fillId="2" fontId="5" numFmtId="0" xfId="0" applyAlignment="1" applyFont="1">
      <alignment readingOrder="0"/>
    </xf>
    <xf borderId="0" fillId="0" fontId="5" numFmtId="166" xfId="0" applyAlignment="1" applyFont="1" applyNumberFormat="1">
      <alignment readingOrder="0"/>
    </xf>
    <xf borderId="0" fillId="0" fontId="5" numFmtId="14" xfId="0" applyFont="1" applyNumberFormat="1"/>
    <xf borderId="0" fillId="0" fontId="5" numFmtId="49" xfId="0" applyFont="1" applyNumberFormat="1"/>
    <xf borderId="1" fillId="0" fontId="5" numFmtId="165" xfId="0" applyAlignment="1" applyBorder="1" applyFont="1" applyNumberFormat="1">
      <alignment horizontal="center" readingOrder="0"/>
    </xf>
    <xf borderId="1" fillId="0" fontId="5" numFmtId="0" xfId="0" applyAlignment="1" applyBorder="1" applyFont="1">
      <alignment readingOrder="0"/>
    </xf>
    <xf borderId="1" fillId="0" fontId="5" numFmtId="165" xfId="0" applyAlignment="1" applyBorder="1" applyFont="1" applyNumberFormat="1">
      <alignment readingOrder="0"/>
    </xf>
    <xf borderId="1" fillId="0" fontId="5" numFmtId="164" xfId="0" applyBorder="1" applyFont="1" applyNumberFormat="1"/>
    <xf borderId="1" fillId="0" fontId="5" numFmtId="170" xfId="0" applyAlignment="1" applyBorder="1" applyFont="1" applyNumberFormat="1">
      <alignment readingOrder="0"/>
    </xf>
    <xf borderId="1" fillId="0" fontId="5" numFmtId="0" xfId="0" applyBorder="1" applyFont="1"/>
    <xf borderId="1" fillId="0" fontId="5" numFmtId="171" xfId="0" applyAlignment="1" applyBorder="1" applyFont="1" applyNumberFormat="1">
      <alignment readingOrder="0"/>
    </xf>
    <xf borderId="1" fillId="0" fontId="8" numFmtId="165" xfId="0" applyAlignment="1" applyBorder="1" applyFont="1" applyNumberFormat="1">
      <alignment readingOrder="0"/>
    </xf>
    <xf borderId="1" fillId="0" fontId="8" numFmtId="164" xfId="0" applyBorder="1" applyFont="1" applyNumberFormat="1"/>
    <xf borderId="3" fillId="0" fontId="8" numFmtId="0" xfId="0" applyAlignment="1" applyBorder="1" applyFont="1">
      <alignment horizontal="center" readingOrder="0"/>
    </xf>
    <xf borderId="4" fillId="0" fontId="14" numFmtId="0" xfId="0" applyBorder="1" applyFont="1"/>
    <xf borderId="5" fillId="0" fontId="14" numFmtId="0" xfId="0" applyBorder="1" applyFont="1"/>
    <xf borderId="0" fillId="0" fontId="5" numFmtId="171" xfId="0" applyAlignment="1" applyFont="1" applyNumberFormat="1">
      <alignment readingOrder="0"/>
    </xf>
    <xf borderId="1" fillId="0" fontId="15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center"/>
    </xf>
    <xf borderId="1" fillId="0" fontId="5" numFmtId="164" xfId="0" applyAlignment="1" applyBorder="1" applyFont="1" applyNumberFormat="1">
      <alignment horizontal="center"/>
    </xf>
    <xf borderId="1" fillId="0" fontId="5" numFmtId="171" xfId="0" applyAlignment="1" applyBorder="1" applyFont="1" applyNumberFormat="1">
      <alignment horizontal="center" readingOrder="0"/>
    </xf>
    <xf borderId="0" fillId="2" fontId="9" numFmtId="165" xfId="0" applyAlignment="1" applyFont="1" applyNumberFormat="1">
      <alignment readingOrder="0"/>
    </xf>
    <xf borderId="0" fillId="2" fontId="11" numFmtId="165" xfId="0" applyAlignment="1" applyFont="1" applyNumberFormat="1">
      <alignment readingOrder="0"/>
    </xf>
    <xf borderId="1" fillId="2" fontId="15" numFmtId="0" xfId="0" applyAlignment="1" applyBorder="1" applyFont="1">
      <alignment horizontal="center" readingOrder="0"/>
    </xf>
    <xf borderId="1" fillId="2" fontId="5" numFmtId="0" xfId="0" applyAlignment="1" applyBorder="1" applyFont="1">
      <alignment horizontal="center" readingOrder="0"/>
    </xf>
    <xf borderId="0" fillId="2" fontId="9" numFmtId="0" xfId="0" applyAlignment="1" applyFont="1">
      <alignment readingOrder="0"/>
    </xf>
    <xf borderId="0" fillId="5" fontId="11" numFmtId="0" xfId="0" applyAlignment="1" applyFill="1" applyFont="1">
      <alignment readingOrder="0" shrinkToFit="0" wrapText="0"/>
    </xf>
    <xf borderId="1" fillId="0" fontId="13" numFmtId="165" xfId="0" applyAlignment="1" applyBorder="1" applyFont="1" applyNumberFormat="1">
      <alignment readingOrder="0"/>
    </xf>
    <xf borderId="1" fillId="0" fontId="13" numFmtId="0" xfId="0" applyAlignment="1" applyBorder="1" applyFont="1">
      <alignment readingOrder="0"/>
    </xf>
    <xf borderId="1" fillId="0" fontId="5" numFmtId="164" xfId="0" applyAlignment="1" applyBorder="1" applyFont="1" applyNumberFormat="1">
      <alignment readingOrder="0"/>
    </xf>
    <xf borderId="1" fillId="0" fontId="16" numFmtId="0" xfId="0" applyAlignment="1" applyBorder="1" applyFont="1">
      <alignment horizontal="center" readingOrder="0"/>
    </xf>
    <xf borderId="0" fillId="0" fontId="16" numFmtId="164" xfId="0" applyAlignment="1" applyFont="1" applyNumberFormat="1">
      <alignment horizontal="center" readingOrder="0"/>
    </xf>
    <xf borderId="0" fillId="0" fontId="16" numFmtId="0" xfId="0" applyAlignment="1" applyFont="1">
      <alignment horizontal="center" readingOrder="0"/>
    </xf>
    <xf borderId="4" fillId="0" fontId="16" numFmtId="164" xfId="0" applyAlignment="1" applyBorder="1" applyFont="1" applyNumberFormat="1">
      <alignment horizontal="center" readingOrder="0"/>
    </xf>
    <xf borderId="4" fillId="0" fontId="16" numFmtId="0" xfId="0" applyAlignment="1" applyBorder="1" applyFont="1">
      <alignment horizontal="center" readingOrder="0"/>
    </xf>
    <xf borderId="3" fillId="0" fontId="17" numFmtId="0" xfId="0" applyAlignment="1" applyBorder="1" applyFont="1">
      <alignment horizontal="center" readingOrder="0"/>
    </xf>
    <xf borderId="1" fillId="0" fontId="18" numFmtId="164" xfId="0" applyAlignment="1" applyBorder="1" applyFont="1" applyNumberFormat="1">
      <alignment horizontal="center" readingOrder="0"/>
    </xf>
    <xf borderId="1" fillId="0" fontId="18" numFmtId="0" xfId="0" applyAlignment="1" applyBorder="1" applyFont="1">
      <alignment horizontal="center" readingOrder="0"/>
    </xf>
    <xf borderId="1" fillId="0" fontId="18" numFmtId="165" xfId="0" applyAlignment="1" applyBorder="1" applyFont="1" applyNumberFormat="1">
      <alignment horizontal="center" readingOrder="0"/>
    </xf>
    <xf borderId="1" fillId="0" fontId="18" numFmtId="164" xfId="0" applyAlignment="1" applyBorder="1" applyFont="1" applyNumberFormat="1">
      <alignment horizontal="center"/>
    </xf>
    <xf borderId="1" fillId="6" fontId="18" numFmtId="0" xfId="0" applyAlignment="1" applyBorder="1" applyFill="1" applyFont="1">
      <alignment horizontal="center" readingOrder="0"/>
    </xf>
    <xf borderId="1" fillId="0" fontId="19" numFmtId="165" xfId="0" applyAlignment="1" applyBorder="1" applyFont="1" applyNumberFormat="1">
      <alignment horizontal="center" vertical="bottom"/>
    </xf>
    <xf borderId="1" fillId="0" fontId="19" numFmtId="0" xfId="0" applyAlignment="1" applyBorder="1" applyFont="1">
      <alignment horizontal="center" readingOrder="0" vertical="bottom"/>
    </xf>
    <xf borderId="0" fillId="0" fontId="8" numFmtId="164" xfId="0" applyFont="1" applyNumberFormat="1"/>
    <xf borderId="1" fillId="0" fontId="5" numFmtId="167" xfId="0" applyAlignment="1" applyBorder="1" applyFont="1" applyNumberFormat="1">
      <alignment readingOrder="0"/>
    </xf>
    <xf borderId="0" fillId="0" fontId="5" numFmtId="164" xfId="0" applyAlignment="1" applyFont="1" applyNumberFormat="1">
      <alignment horizontal="right" readingOrder="0" vertical="bottom"/>
    </xf>
    <xf borderId="0" fillId="0" fontId="18" numFmtId="0" xfId="0" applyAlignment="1" applyFont="1">
      <alignment horizontal="center" readingOrder="0"/>
    </xf>
    <xf borderId="3" fillId="0" fontId="20" numFmtId="0" xfId="0" applyAlignment="1" applyBorder="1" applyFont="1">
      <alignment horizontal="center" readingOrder="0" vertical="bottom"/>
    </xf>
    <xf borderId="1" fillId="0" fontId="20" numFmtId="0" xfId="0" applyAlignment="1" applyBorder="1" applyFont="1">
      <alignment horizontal="center" readingOrder="0" vertical="bottom"/>
    </xf>
    <xf borderId="1" fillId="0" fontId="18" numFmtId="0" xfId="0" applyAlignment="1" applyBorder="1" applyFont="1">
      <alignment horizontal="center"/>
    </xf>
    <xf borderId="1" fillId="6" fontId="5" numFmtId="0" xfId="0" applyAlignment="1" applyBorder="1" applyFont="1">
      <alignment readingOrder="0"/>
    </xf>
    <xf borderId="0" fillId="0" fontId="21" numFmtId="164" xfId="0" applyAlignment="1" applyFont="1" applyNumberFormat="1">
      <alignment horizontal="center" readingOrder="0" shrinkToFit="0" wrapText="1"/>
    </xf>
    <xf borderId="0" fillId="0" fontId="13" numFmtId="0" xfId="0" applyAlignment="1" applyFont="1">
      <alignment readingOrder="0"/>
    </xf>
    <xf borderId="0" fillId="2" fontId="22" numFmtId="164" xfId="0" applyAlignment="1" applyFont="1" applyNumberFormat="1">
      <alignment readingOrder="0"/>
    </xf>
    <xf borderId="0" fillId="0" fontId="5" numFmtId="0" xfId="0" applyFont="1"/>
    <xf borderId="0" fillId="2" fontId="23" numFmtId="164" xfId="0" applyAlignment="1" applyFont="1" applyNumberFormat="1">
      <alignment readingOrder="0"/>
    </xf>
    <xf borderId="4" fillId="0" fontId="20" numFmtId="0" xfId="0" applyAlignment="1" applyBorder="1" applyFont="1">
      <alignment horizontal="center" readingOrder="0" vertical="bottom"/>
    </xf>
    <xf borderId="5" fillId="0" fontId="20" numFmtId="0" xfId="0" applyAlignment="1" applyBorder="1" applyFont="1">
      <alignment horizontal="center" readingOrder="0" vertical="bottom"/>
    </xf>
    <xf borderId="0" fillId="0" fontId="24" numFmtId="0" xfId="0" applyAlignment="1" applyFont="1">
      <alignment readingOrder="0"/>
    </xf>
    <xf borderId="0" fillId="0" fontId="24" numFmtId="165" xfId="0" applyAlignment="1" applyFont="1" applyNumberFormat="1">
      <alignment readingOrder="0"/>
    </xf>
    <xf borderId="0" fillId="2" fontId="24" numFmtId="0" xfId="0" applyAlignment="1" applyFont="1">
      <alignment readingOrder="0"/>
    </xf>
    <xf borderId="0" fillId="2" fontId="24" numFmtId="165" xfId="0" applyAlignment="1" applyFont="1" applyNumberFormat="1">
      <alignment readingOrder="0"/>
    </xf>
    <xf borderId="0" fillId="2" fontId="9" numFmtId="164" xfId="0" applyAlignment="1" applyFont="1" applyNumberFormat="1">
      <alignment readingOrder="0"/>
    </xf>
    <xf borderId="0" fillId="2" fontId="11" numFmtId="164" xfId="0" applyAlignment="1" applyFont="1" applyNumberFormat="1">
      <alignment readingOrder="0"/>
    </xf>
    <xf borderId="0" fillId="0" fontId="5" numFmtId="49" xfId="0" applyAlignment="1" applyFont="1" applyNumberFormat="1">
      <alignment readingOrder="0"/>
    </xf>
    <xf borderId="0" fillId="0" fontId="5" numFmtId="167" xfId="0" applyAlignment="1" applyFont="1" applyNumberFormat="1">
      <alignment readingOrder="0"/>
    </xf>
    <xf borderId="0" fillId="2" fontId="25" numFmtId="164" xfId="0" applyAlignment="1" applyFont="1" applyNumberFormat="1">
      <alignment readingOrder="0"/>
    </xf>
    <xf borderId="0" fillId="2" fontId="26" numFmtId="164" xfId="0" applyAlignment="1" applyFont="1" applyNumberFormat="1">
      <alignment readingOrder="0"/>
    </xf>
    <xf borderId="0" fillId="0" fontId="27" numFmtId="164" xfId="0" applyFont="1" applyNumberFormat="1"/>
    <xf borderId="0" fillId="0" fontId="28" numFmtId="164" xfId="0" applyFont="1" applyNumberFormat="1"/>
    <xf borderId="4" fillId="0" fontId="17" numFmtId="0" xfId="0" applyAlignment="1" applyBorder="1" applyFont="1">
      <alignment horizontal="center" readingOrder="0"/>
    </xf>
    <xf borderId="5" fillId="0" fontId="17" numFmtId="0" xfId="0" applyAlignment="1" applyBorder="1" applyFont="1">
      <alignment horizontal="center" readingOrder="0"/>
    </xf>
    <xf borderId="0" fillId="0" fontId="29" numFmtId="164" xfId="0" applyFont="1" applyNumberFormat="1"/>
    <xf borderId="0" fillId="0" fontId="8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  <tableStyles count="1">
    <tableStyle count="2" pivot="0" name="TUNAS - PR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16:F36" displayName="Table_1" name="Table_1" id="1">
  <tableColumns count="5">
    <tableColumn name="Column1" id="1"/>
    <tableColumn name="Column2" id="2"/>
    <tableColumn name="Column3" id="3"/>
    <tableColumn name="Column4" id="4"/>
    <tableColumn name="Column5" id="5"/>
  </tableColumns>
  <tableStyleInfo name="TUNAS - P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administracao@corenma.gov.br/" TargetMode="External"/><Relationship Id="rId2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  <col customWidth="1" min="2" max="2" width="26.63"/>
  </cols>
  <sheetData>
    <row r="1">
      <c r="A1" s="1" t="s">
        <v>0</v>
      </c>
    </row>
    <row r="3">
      <c r="A3" s="2"/>
      <c r="B3" s="2"/>
      <c r="C3" s="2"/>
      <c r="D3" s="2"/>
      <c r="E3" s="2"/>
      <c r="F3" s="2"/>
    </row>
    <row r="4">
      <c r="A4" s="2"/>
      <c r="B4" s="2"/>
      <c r="C4" s="2" t="s">
        <v>1</v>
      </c>
      <c r="D4" s="3"/>
      <c r="E4" s="2" t="s">
        <v>2</v>
      </c>
      <c r="F4" s="4">
        <v>0.98664</v>
      </c>
    </row>
    <row r="5">
      <c r="A5" s="5"/>
      <c r="B5" s="6">
        <v>0.401</v>
      </c>
      <c r="C5" s="4">
        <f>B5</f>
        <v>0.401</v>
      </c>
      <c r="D5" s="2"/>
      <c r="E5" s="2" t="s">
        <v>3</v>
      </c>
      <c r="F5" s="7">
        <v>0.23</v>
      </c>
    </row>
    <row r="6">
      <c r="A6" s="2"/>
      <c r="B6" s="2"/>
      <c r="C6" s="2"/>
      <c r="D6" s="2"/>
      <c r="E6" s="2"/>
      <c r="F6" s="2"/>
    </row>
    <row r="7">
      <c r="A7" s="2" t="s">
        <v>4</v>
      </c>
      <c r="B7" s="2" t="s">
        <v>5</v>
      </c>
      <c r="C7" s="2" t="s">
        <v>6</v>
      </c>
      <c r="D7" s="2" t="s">
        <v>7</v>
      </c>
      <c r="E7" s="2" t="s">
        <v>8</v>
      </c>
      <c r="F7" s="2" t="s">
        <v>9</v>
      </c>
      <c r="I7" s="8" t="s">
        <v>4</v>
      </c>
      <c r="J7" s="8" t="s">
        <v>5</v>
      </c>
      <c r="K7" s="8" t="s">
        <v>6</v>
      </c>
      <c r="L7" s="8" t="s">
        <v>7</v>
      </c>
      <c r="M7" s="8" t="s">
        <v>8</v>
      </c>
      <c r="N7" s="8" t="s">
        <v>9</v>
      </c>
    </row>
    <row r="8">
      <c r="A8" s="9">
        <v>13300.0</v>
      </c>
      <c r="B8" s="10">
        <f>E8/(1-$B$5)</f>
        <v>27310.51753</v>
      </c>
      <c r="C8" s="10">
        <f>B8*$C$5</f>
        <v>10951.51753</v>
      </c>
      <c r="D8" s="10">
        <f>B8-C8</f>
        <v>16359</v>
      </c>
      <c r="E8" s="10">
        <f>A8+(A8*$F$5)</f>
        <v>16359</v>
      </c>
      <c r="F8" s="10">
        <f>B8-A8</f>
        <v>14010.51753</v>
      </c>
      <c r="H8" s="11"/>
      <c r="I8" s="11">
        <v>3250.0</v>
      </c>
      <c r="J8" s="10">
        <f>M8/(1-$B$5)</f>
        <v>6673.622705</v>
      </c>
      <c r="K8" s="10">
        <f>J8*$C$5</f>
        <v>2676.122705</v>
      </c>
      <c r="L8" s="10">
        <f>J8-K8</f>
        <v>3997.5</v>
      </c>
      <c r="M8" s="10">
        <f>I8+(I8*$F$5)</f>
        <v>3997.5</v>
      </c>
      <c r="N8" s="10">
        <f>J8-I8</f>
        <v>3423.622705</v>
      </c>
    </row>
    <row r="9">
      <c r="A9" s="2"/>
      <c r="B9" s="2"/>
      <c r="C9" s="2"/>
      <c r="D9" s="2" t="s">
        <v>10</v>
      </c>
      <c r="E9" s="2"/>
      <c r="F9" s="2"/>
      <c r="L9" s="8" t="s">
        <v>10</v>
      </c>
    </row>
    <row r="10">
      <c r="A10" s="2"/>
      <c r="B10" s="2"/>
      <c r="C10" s="2"/>
      <c r="D10" s="10">
        <f>D8-A8</f>
        <v>3059</v>
      </c>
      <c r="E10" s="2"/>
      <c r="F10" s="2"/>
      <c r="L10" s="10">
        <f>L8-I8</f>
        <v>747.5</v>
      </c>
    </row>
    <row r="11">
      <c r="A11" s="12" t="s">
        <v>11</v>
      </c>
      <c r="B11" s="12">
        <v>7.0</v>
      </c>
      <c r="C11" s="2"/>
      <c r="D11" s="2"/>
      <c r="E11" s="2"/>
      <c r="F11" s="12" t="s">
        <v>12</v>
      </c>
    </row>
    <row r="12">
      <c r="A12" s="10">
        <f>A8/B11</f>
        <v>1900</v>
      </c>
      <c r="B12" s="2"/>
      <c r="C12" s="2"/>
      <c r="D12" s="2"/>
      <c r="E12" s="2"/>
      <c r="F12" s="13">
        <f>D8/B11</f>
        <v>2337</v>
      </c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12" t="s">
        <v>13</v>
      </c>
      <c r="B15" s="12" t="s">
        <v>14</v>
      </c>
      <c r="C15" s="12" t="s">
        <v>15</v>
      </c>
      <c r="D15" s="12" t="s">
        <v>16</v>
      </c>
      <c r="E15" s="12" t="s">
        <v>17</v>
      </c>
      <c r="F15" s="12" t="s">
        <v>18</v>
      </c>
      <c r="G15" s="12" t="s">
        <v>19</v>
      </c>
      <c r="H15" s="12" t="s">
        <v>20</v>
      </c>
      <c r="I15" s="12" t="s">
        <v>4</v>
      </c>
      <c r="J15" s="12" t="s">
        <v>21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14">
        <v>45854.0</v>
      </c>
      <c r="B16" s="15" t="s">
        <v>22</v>
      </c>
      <c r="C16" s="16">
        <v>31992.0</v>
      </c>
      <c r="D16" s="15" t="s">
        <v>23</v>
      </c>
      <c r="E16" s="17" t="s">
        <v>24</v>
      </c>
      <c r="F16" s="18" t="s">
        <v>25</v>
      </c>
      <c r="G16" s="19">
        <v>45912.0</v>
      </c>
      <c r="H16" s="2"/>
      <c r="I16" s="2"/>
      <c r="J16" s="2"/>
      <c r="K16" s="2"/>
      <c r="L16" s="13">
        <f>2989.11+A8</f>
        <v>16289.11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14">
        <v>45854.0</v>
      </c>
      <c r="B17" s="15" t="s">
        <v>26</v>
      </c>
      <c r="C17" s="16">
        <v>30505.0</v>
      </c>
      <c r="D17" s="20" t="s">
        <v>27</v>
      </c>
      <c r="E17" s="17" t="s">
        <v>24</v>
      </c>
      <c r="F17" s="18" t="s">
        <v>25</v>
      </c>
      <c r="G17" s="19">
        <v>45912.0</v>
      </c>
      <c r="H17" s="2"/>
      <c r="I17" s="2"/>
      <c r="K17" s="2"/>
      <c r="L17" s="13">
        <f>SUM(D8,L8)</f>
        <v>20356.5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14">
        <v>45912.0</v>
      </c>
      <c r="B18" s="21" t="s">
        <v>26</v>
      </c>
      <c r="C18" s="22">
        <f>IFERROR(VLOOKUP(B18,'Página8'!A:B,2,0),"")</f>
        <v>30505</v>
      </c>
      <c r="D18" s="23" t="str">
        <f>IFERROR(VLOOKUP(B18,'Página8'!A:C,3,0),"")</f>
        <v>04520613930</v>
      </c>
      <c r="E18" s="18" t="s">
        <v>25</v>
      </c>
      <c r="F18" s="18" t="s">
        <v>28</v>
      </c>
      <c r="G18" s="24">
        <v>45986.0</v>
      </c>
      <c r="H18" s="24">
        <v>45989.0</v>
      </c>
      <c r="I18" s="12">
        <v>1256.33</v>
      </c>
      <c r="J18" s="12">
        <v>1487.18</v>
      </c>
      <c r="K18" s="2"/>
      <c r="L18" s="13">
        <f>L17-L16</f>
        <v>4067.39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14">
        <v>45912.0</v>
      </c>
      <c r="B19" s="21" t="s">
        <v>29</v>
      </c>
      <c r="C19" s="22">
        <f>IFERROR(VLOOKUP(B19,'Página8'!A:B,2,0),"")</f>
        <v>36191</v>
      </c>
      <c r="D19" s="23">
        <f>IFERROR(VLOOKUP(B19,'Página8'!A:C,3,0),"")</f>
        <v>11941708978</v>
      </c>
      <c r="E19" s="18" t="s">
        <v>25</v>
      </c>
      <c r="F19" s="18" t="s">
        <v>28</v>
      </c>
      <c r="G19" s="24">
        <v>45986.0</v>
      </c>
      <c r="H19" s="24">
        <v>45989.0</v>
      </c>
      <c r="I19" s="12">
        <v>1256.33</v>
      </c>
      <c r="J19" s="12">
        <v>1487.18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14">
        <v>45912.0</v>
      </c>
      <c r="B20" s="21" t="s">
        <v>30</v>
      </c>
      <c r="C20" s="22">
        <f>IFERROR(VLOOKUP(B20,'Página8'!A:B,2,0),"")</f>
        <v>28963</v>
      </c>
      <c r="D20" s="23" t="str">
        <f>IFERROR(VLOOKUP(B20,'Página8'!A:C,3,0),"")</f>
        <v>03586628935</v>
      </c>
      <c r="E20" s="18" t="s">
        <v>25</v>
      </c>
      <c r="F20" s="18" t="s">
        <v>28</v>
      </c>
      <c r="G20" s="24">
        <v>45986.0</v>
      </c>
      <c r="H20" s="24">
        <v>45989.0</v>
      </c>
      <c r="I20" s="12">
        <v>1256.33</v>
      </c>
      <c r="J20" s="12">
        <v>1487.18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14">
        <v>45912.0</v>
      </c>
      <c r="B21" s="21" t="s">
        <v>31</v>
      </c>
      <c r="C21" s="22">
        <f>IFERROR(VLOOKUP(B21,'Página8'!A:B,2,0),"")</f>
        <v>28507</v>
      </c>
      <c r="D21" s="23" t="str">
        <f>IFERROR(VLOOKUP(B21,'Página8'!A:C,3,0),"")</f>
        <v>02498362975</v>
      </c>
      <c r="E21" s="18" t="s">
        <v>25</v>
      </c>
      <c r="F21" s="18" t="s">
        <v>28</v>
      </c>
      <c r="G21" s="24">
        <v>45986.0</v>
      </c>
      <c r="H21" s="24">
        <v>45989.0</v>
      </c>
      <c r="I21" s="12">
        <v>1256.33</v>
      </c>
      <c r="J21" s="12">
        <v>1487.18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14">
        <v>45912.0</v>
      </c>
      <c r="B22" s="21" t="s">
        <v>22</v>
      </c>
      <c r="C22" s="22">
        <f>IFERROR(VLOOKUP(B22,'Página8'!A:B,2,0),"")</f>
        <v>31992</v>
      </c>
      <c r="D22" s="23" t="str">
        <f>IFERROR(VLOOKUP(B22,'Página8'!A:C,3,0),"")</f>
        <v>057.372.039-80</v>
      </c>
      <c r="E22" s="18" t="s">
        <v>25</v>
      </c>
      <c r="F22" s="18" t="s">
        <v>28</v>
      </c>
      <c r="G22" s="24">
        <v>45986.0</v>
      </c>
      <c r="H22" s="24">
        <v>45989.0</v>
      </c>
      <c r="I22" s="12">
        <v>1256.33</v>
      </c>
      <c r="J22" s="12">
        <v>1487.18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14">
        <v>45912.0</v>
      </c>
      <c r="B23" s="21" t="s">
        <v>32</v>
      </c>
      <c r="C23" s="22">
        <f>IFERROR(VLOOKUP(B23,'Página8'!A:B,2,0),"")</f>
        <v>25204</v>
      </c>
      <c r="D23" s="23" t="str">
        <f>IFERROR(VLOOKUP(B23,'Página8'!A:C,3,0),"")</f>
        <v>766.831.259-53</v>
      </c>
      <c r="E23" s="18" t="s">
        <v>25</v>
      </c>
      <c r="F23" s="18" t="s">
        <v>28</v>
      </c>
      <c r="G23" s="24">
        <v>45986.0</v>
      </c>
      <c r="H23" s="24">
        <v>45989.0</v>
      </c>
      <c r="I23" s="12">
        <v>1256.33</v>
      </c>
      <c r="J23" s="12">
        <v>1487.18</v>
      </c>
      <c r="K23" s="13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14">
        <v>45912.0</v>
      </c>
      <c r="B24" s="21" t="s">
        <v>33</v>
      </c>
      <c r="C24" s="22">
        <f>IFERROR(VLOOKUP(B24,'Página8'!A:B,2,0),"")</f>
        <v>20991</v>
      </c>
      <c r="D24" s="23" t="str">
        <f>IFERROR(VLOOKUP(B24,'Página8'!A:C,3,0),"")</f>
        <v>850.602.759-49</v>
      </c>
      <c r="E24" s="18" t="s">
        <v>25</v>
      </c>
      <c r="F24" s="18" t="s">
        <v>28</v>
      </c>
      <c r="G24" s="24">
        <v>45986.0</v>
      </c>
      <c r="H24" s="24">
        <v>45989.0</v>
      </c>
      <c r="I24" s="12">
        <v>1256.33</v>
      </c>
      <c r="J24" s="12">
        <v>1487.18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14">
        <v>45912.0</v>
      </c>
      <c r="B25" s="21" t="s">
        <v>34</v>
      </c>
      <c r="C25" s="22">
        <f>IFERROR(VLOOKUP(B25,'Página8'!A:B,2,0),"")</f>
        <v>34243</v>
      </c>
      <c r="D25" s="23" t="str">
        <f>IFERROR(VLOOKUP(B25,'Página8'!A:C,3,0),"")</f>
        <v>08093548963</v>
      </c>
      <c r="E25" s="18" t="s">
        <v>25</v>
      </c>
      <c r="F25" s="18" t="s">
        <v>28</v>
      </c>
      <c r="G25" s="24">
        <v>45986.0</v>
      </c>
      <c r="H25" s="24">
        <v>45988.0</v>
      </c>
      <c r="I25" s="25">
        <v>999.59</v>
      </c>
      <c r="J25" s="12">
        <v>1487.18</v>
      </c>
      <c r="K25" s="13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14">
        <v>45912.0</v>
      </c>
      <c r="B26" s="21" t="s">
        <v>35</v>
      </c>
      <c r="C26" s="22">
        <f>IFERROR(VLOOKUP(B26,'Página8'!A:B,2,0),"")</f>
        <v>37099</v>
      </c>
      <c r="D26" s="23">
        <f>IFERROR(VLOOKUP(B26,'Página8'!A:C,3,0),"")</f>
        <v>10789785900</v>
      </c>
      <c r="E26" s="18" t="s">
        <v>25</v>
      </c>
      <c r="F26" s="18" t="s">
        <v>28</v>
      </c>
      <c r="G26" s="24">
        <v>45986.0</v>
      </c>
      <c r="H26" s="24">
        <v>45988.0</v>
      </c>
      <c r="I26" s="25">
        <v>999.59</v>
      </c>
      <c r="J26" s="12">
        <v>1487.18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14">
        <v>45912.0</v>
      </c>
      <c r="B27" s="21" t="s">
        <v>36</v>
      </c>
      <c r="C27" s="22">
        <f>IFERROR(VLOOKUP(B27,'Página8'!A:B,2,0),"")</f>
        <v>31126</v>
      </c>
      <c r="D27" s="23" t="str">
        <f>IFERROR(VLOOKUP(B27,'Página8'!A:C,3,0),"")</f>
        <v>07877179910</v>
      </c>
      <c r="E27" s="18" t="s">
        <v>25</v>
      </c>
      <c r="F27" s="18" t="s">
        <v>28</v>
      </c>
      <c r="G27" s="24">
        <v>45986.0</v>
      </c>
      <c r="H27" s="24">
        <v>45988.0</v>
      </c>
      <c r="I27" s="25">
        <v>999.59</v>
      </c>
      <c r="J27" s="12">
        <v>1487.18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26">
        <v>45916.0</v>
      </c>
      <c r="B28" s="21" t="s">
        <v>37</v>
      </c>
      <c r="C28" s="22">
        <f>IFERROR(VLOOKUP(B28,'Página8'!A:B,2,0),"")</f>
        <v>26914</v>
      </c>
      <c r="D28" s="23">
        <f>IFERROR(VLOOKUP(B28,'Página8'!A:C,3,0),"")</f>
        <v>93884710915</v>
      </c>
      <c r="E28" s="18" t="s">
        <v>25</v>
      </c>
      <c r="F28" s="18" t="s">
        <v>28</v>
      </c>
      <c r="G28" s="24">
        <v>45986.0</v>
      </c>
      <c r="H28" s="24">
        <v>45989.0</v>
      </c>
      <c r="I28" s="12">
        <v>1256.33</v>
      </c>
      <c r="J28" s="12">
        <v>1487.18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B29" s="27"/>
      <c r="C29" s="22" t="str">
        <f>IFERROR(VLOOKUP(B29,'Página8'!A:B,2,0),"")</f>
        <v/>
      </c>
      <c r="D29" s="23" t="str">
        <f>IFERROR(VLOOKUP(B29,'Página8'!A:C,3,0),"")</f>
        <v/>
      </c>
      <c r="E29" s="28"/>
      <c r="F29" s="28"/>
      <c r="G29" s="2"/>
      <c r="H29" s="2"/>
      <c r="I29" s="2">
        <f t="shared" ref="I29:J29" si="1">SUM(I16:I28)</f>
        <v>13049.41</v>
      </c>
      <c r="J29" s="2">
        <f t="shared" si="1"/>
        <v>16358.98</v>
      </c>
      <c r="K29" s="2">
        <f>J29-I29</f>
        <v>3309.57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B30" s="27"/>
      <c r="C30" s="22" t="str">
        <f>IFERROR(VLOOKUP(B30,'Página8'!A:B,2,0),"")</f>
        <v/>
      </c>
      <c r="D30" s="23" t="str">
        <f>IFERROR(VLOOKUP(B30,'Página8'!A:C,3,0),"")</f>
        <v/>
      </c>
      <c r="E30" s="28"/>
      <c r="F30" s="28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B31" s="27"/>
      <c r="C31" s="22" t="str">
        <f>IFERROR(VLOOKUP(B31,'Página8'!A:B,2,0),"")</f>
        <v/>
      </c>
      <c r="D31" s="23" t="str">
        <f>IFERROR(VLOOKUP(B31,'Página8'!A:C,3,0),"")</f>
        <v/>
      </c>
      <c r="E31" s="28"/>
      <c r="F31" s="28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2"/>
      <c r="B32" s="27"/>
      <c r="C32" s="22" t="str">
        <f>IFERROR(VLOOKUP(B32,'Página8'!A:B,2,0),"")</f>
        <v/>
      </c>
      <c r="D32" s="23" t="str">
        <f>IFERROR(VLOOKUP(B32,'Página8'!A:C,3,0),"")</f>
        <v/>
      </c>
      <c r="E32" s="28"/>
      <c r="F32" s="28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2"/>
      <c r="B33" s="27"/>
      <c r="C33" s="22" t="str">
        <f>IFERROR(VLOOKUP(B33,'Página8'!A:B,2,0),"")</f>
        <v/>
      </c>
      <c r="D33" s="23" t="str">
        <f>IFERROR(VLOOKUP(B33,'Página8'!A:C,3,0),"")</f>
        <v/>
      </c>
      <c r="E33" s="28"/>
      <c r="F33" s="28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2"/>
      <c r="B34" s="27"/>
      <c r="C34" s="22" t="str">
        <f>IFERROR(VLOOKUP(B34,'Página8'!A:B,2,0),"")</f>
        <v/>
      </c>
      <c r="D34" s="23" t="str">
        <f>IFERROR(VLOOKUP(B34,'Página8'!A:C,3,0),"")</f>
        <v/>
      </c>
      <c r="E34" s="28"/>
      <c r="F34" s="28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2"/>
      <c r="B35" s="27"/>
      <c r="C35" s="22" t="str">
        <f>IFERROR(VLOOKUP(B35,'Página8'!A:B,2,0),"")</f>
        <v/>
      </c>
      <c r="D35" s="23" t="str">
        <f>IFERROR(VLOOKUP(B35,'Página8'!A:C,3,0),"")</f>
        <v/>
      </c>
      <c r="E35" s="28"/>
      <c r="F35" s="28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2"/>
      <c r="B36" s="27"/>
      <c r="C36" s="22" t="str">
        <f>IFERROR(VLOOKUP(B36,'Página8'!A:B,2,0),"")</f>
        <v/>
      </c>
      <c r="D36" s="23" t="str">
        <f>IFERROR(VLOOKUP(B36,'Página8'!A:C,3,0),"")</f>
        <v/>
      </c>
      <c r="E36" s="28"/>
      <c r="F36" s="28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2" t="s">
        <v>38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2" t="s">
        <v>39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2" t="s">
        <v>40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2" t="s">
        <v>38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2" t="s">
        <v>39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2" t="s">
        <v>40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2" t="s">
        <v>41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</row>
  </sheetData>
  <mergeCells count="1">
    <mergeCell ref="A1:N1"/>
  </mergeCells>
  <dataValidations>
    <dataValidation type="list" allowBlank="1" showErrorMessage="1" sqref="B18:B36">
      <formula1>'Página8'!$A$2:$A$500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9.38"/>
    <col customWidth="1" min="3" max="3" width="14.25"/>
    <col customWidth="1" min="4" max="5" width="15.75"/>
    <col customWidth="1" min="6" max="6" width="14.5"/>
    <col customWidth="1" min="7" max="7" width="17.75"/>
    <col customWidth="1" min="8" max="8" width="9.0"/>
    <col customWidth="1" min="9" max="9" width="15.25"/>
    <col customWidth="1" min="10" max="10" width="14.38"/>
    <col customWidth="1" min="11" max="11" width="37.25"/>
    <col customWidth="1" min="12" max="12" width="12.5"/>
    <col customWidth="1" min="13" max="16" width="10.13"/>
  </cols>
  <sheetData>
    <row r="1">
      <c r="A1" s="29" t="s">
        <v>42</v>
      </c>
      <c r="B1" s="29" t="s">
        <v>19</v>
      </c>
      <c r="C1" s="29" t="s">
        <v>43</v>
      </c>
      <c r="D1" s="29" t="s">
        <v>44</v>
      </c>
      <c r="E1" s="29" t="s">
        <v>45</v>
      </c>
      <c r="F1" s="29" t="s">
        <v>46</v>
      </c>
      <c r="G1" s="29" t="s">
        <v>47</v>
      </c>
      <c r="H1" s="29" t="s">
        <v>48</v>
      </c>
      <c r="I1" s="29" t="s">
        <v>49</v>
      </c>
      <c r="J1" s="29" t="s">
        <v>50</v>
      </c>
      <c r="K1" s="29" t="s">
        <v>51</v>
      </c>
      <c r="L1" s="29" t="s">
        <v>52</v>
      </c>
      <c r="M1" s="29" t="s">
        <v>53</v>
      </c>
      <c r="N1" s="30" t="s">
        <v>54</v>
      </c>
      <c r="O1" s="30" t="s">
        <v>4</v>
      </c>
      <c r="P1" s="30" t="s">
        <v>10</v>
      </c>
      <c r="Q1" s="31" t="s">
        <v>55</v>
      </c>
      <c r="R1" s="17" t="s">
        <v>56</v>
      </c>
    </row>
    <row r="2">
      <c r="A2" s="26">
        <v>45852.0</v>
      </c>
      <c r="B2" s="26">
        <v>45856.0</v>
      </c>
      <c r="C2" s="26">
        <v>45856.0</v>
      </c>
      <c r="D2" s="17" t="s">
        <v>57</v>
      </c>
      <c r="E2" s="17" t="s">
        <v>58</v>
      </c>
      <c r="F2" s="32">
        <v>0.10416666666666667</v>
      </c>
      <c r="G2" s="32">
        <v>0.4791666666666667</v>
      </c>
      <c r="H2" s="17">
        <v>9.0</v>
      </c>
      <c r="I2" s="33" t="s">
        <v>59</v>
      </c>
      <c r="J2" s="34" t="s">
        <v>60</v>
      </c>
      <c r="K2" s="34" t="s">
        <v>61</v>
      </c>
      <c r="L2" s="34" t="s">
        <v>62</v>
      </c>
      <c r="M2" s="35">
        <v>37484.0</v>
      </c>
      <c r="N2" s="11">
        <v>624.7</v>
      </c>
      <c r="O2" s="11">
        <v>479.91</v>
      </c>
      <c r="P2" s="36">
        <f t="shared" ref="P2:P11" si="1">N2-O2</f>
        <v>144.79</v>
      </c>
      <c r="Q2" s="37">
        <f t="shared" ref="Q2:Q11" si="2">P2/N2</f>
        <v>0.2317752521</v>
      </c>
    </row>
    <row r="3">
      <c r="A3" s="26">
        <v>45852.0</v>
      </c>
      <c r="B3" s="26">
        <v>45856.0</v>
      </c>
      <c r="C3" s="26">
        <v>45856.0</v>
      </c>
      <c r="D3" s="17" t="s">
        <v>57</v>
      </c>
      <c r="E3" s="17" t="s">
        <v>58</v>
      </c>
      <c r="F3" s="32">
        <v>0.10416666666666667</v>
      </c>
      <c r="G3" s="32">
        <v>0.4791666666666667</v>
      </c>
      <c r="H3" s="17">
        <v>2.0</v>
      </c>
      <c r="I3" s="38" t="s">
        <v>63</v>
      </c>
      <c r="J3" s="34" t="s">
        <v>60</v>
      </c>
      <c r="K3" s="34" t="s">
        <v>64</v>
      </c>
      <c r="L3" s="34" t="s">
        <v>65</v>
      </c>
      <c r="M3" s="35">
        <v>36664.0</v>
      </c>
      <c r="N3" s="11">
        <v>624.7</v>
      </c>
      <c r="O3" s="11">
        <v>479.91</v>
      </c>
      <c r="P3" s="36">
        <f t="shared" si="1"/>
        <v>144.79</v>
      </c>
      <c r="Q3" s="37">
        <f t="shared" si="2"/>
        <v>0.2317752521</v>
      </c>
    </row>
    <row r="4">
      <c r="A4" s="26">
        <v>45852.0</v>
      </c>
      <c r="B4" s="26">
        <v>45856.0</v>
      </c>
      <c r="C4" s="26">
        <v>45856.0</v>
      </c>
      <c r="D4" s="17" t="s">
        <v>57</v>
      </c>
      <c r="E4" s="17" t="s">
        <v>58</v>
      </c>
      <c r="F4" s="32">
        <v>0.10416666666666667</v>
      </c>
      <c r="G4" s="32">
        <v>0.4791666666666667</v>
      </c>
      <c r="H4" s="17">
        <v>6.0</v>
      </c>
      <c r="I4" s="38" t="s">
        <v>66</v>
      </c>
      <c r="J4" s="34" t="s">
        <v>60</v>
      </c>
      <c r="K4" s="34" t="s">
        <v>67</v>
      </c>
      <c r="L4" s="17" t="s">
        <v>68</v>
      </c>
      <c r="M4" s="35">
        <v>39152.0</v>
      </c>
      <c r="N4" s="11">
        <v>624.7</v>
      </c>
      <c r="O4" s="11">
        <v>479.91</v>
      </c>
      <c r="P4" s="36">
        <f t="shared" si="1"/>
        <v>144.79</v>
      </c>
      <c r="Q4" s="37">
        <f t="shared" si="2"/>
        <v>0.2317752521</v>
      </c>
    </row>
    <row r="5">
      <c r="A5" s="26">
        <v>45852.0</v>
      </c>
      <c r="B5" s="26">
        <v>45856.0</v>
      </c>
      <c r="C5" s="26">
        <v>45857.0</v>
      </c>
      <c r="D5" s="17" t="s">
        <v>58</v>
      </c>
      <c r="E5" s="17" t="s">
        <v>69</v>
      </c>
      <c r="F5" s="32">
        <v>0.5416666666666666</v>
      </c>
      <c r="G5" s="32">
        <v>0.4166666666666667</v>
      </c>
      <c r="H5" s="17">
        <v>50.0</v>
      </c>
      <c r="I5" s="38" t="s">
        <v>70</v>
      </c>
      <c r="J5" s="34" t="s">
        <v>71</v>
      </c>
      <c r="K5" s="34" t="s">
        <v>61</v>
      </c>
      <c r="L5" s="34" t="s">
        <v>62</v>
      </c>
      <c r="M5" s="35">
        <v>37484.0</v>
      </c>
      <c r="N5" s="11">
        <v>1130.2</v>
      </c>
      <c r="O5" s="11">
        <v>1009.5</v>
      </c>
      <c r="P5" s="36">
        <f t="shared" si="1"/>
        <v>120.7</v>
      </c>
      <c r="Q5" s="37">
        <f t="shared" si="2"/>
        <v>0.1067952575</v>
      </c>
    </row>
    <row r="6">
      <c r="A6" s="26">
        <v>45852.0</v>
      </c>
      <c r="B6" s="26">
        <v>45856.0</v>
      </c>
      <c r="C6" s="26">
        <v>45857.0</v>
      </c>
      <c r="D6" s="17" t="s">
        <v>58</v>
      </c>
      <c r="E6" s="17" t="s">
        <v>69</v>
      </c>
      <c r="F6" s="32">
        <v>0.5416666666666666</v>
      </c>
      <c r="G6" s="32">
        <v>0.4166666666666667</v>
      </c>
      <c r="H6" s="17">
        <v>53.0</v>
      </c>
      <c r="I6" s="38" t="s">
        <v>72</v>
      </c>
      <c r="J6" s="34" t="s">
        <v>71</v>
      </c>
      <c r="K6" s="34" t="s">
        <v>64</v>
      </c>
      <c r="L6" s="34" t="s">
        <v>65</v>
      </c>
      <c r="M6" s="35">
        <v>36664.0</v>
      </c>
      <c r="N6" s="11">
        <v>1130.2</v>
      </c>
      <c r="O6" s="11">
        <v>1009.5</v>
      </c>
      <c r="P6" s="36">
        <f t="shared" si="1"/>
        <v>120.7</v>
      </c>
      <c r="Q6" s="37">
        <f t="shared" si="2"/>
        <v>0.1067952575</v>
      </c>
    </row>
    <row r="7">
      <c r="A7" s="26">
        <v>45852.0</v>
      </c>
      <c r="B7" s="26">
        <v>45856.0</v>
      </c>
      <c r="C7" s="26">
        <v>45857.0</v>
      </c>
      <c r="D7" s="17" t="s">
        <v>58</v>
      </c>
      <c r="E7" s="17" t="s">
        <v>69</v>
      </c>
      <c r="F7" s="32">
        <v>0.5416666666666666</v>
      </c>
      <c r="G7" s="32">
        <v>0.4166666666666667</v>
      </c>
      <c r="H7" s="17">
        <v>52.0</v>
      </c>
      <c r="I7" s="38" t="s">
        <v>73</v>
      </c>
      <c r="J7" s="34" t="s">
        <v>71</v>
      </c>
      <c r="K7" s="34" t="s">
        <v>67</v>
      </c>
      <c r="L7" s="17" t="s">
        <v>68</v>
      </c>
      <c r="M7" s="35">
        <v>39152.0</v>
      </c>
      <c r="N7" s="11">
        <v>1130.2</v>
      </c>
      <c r="O7" s="11">
        <v>1009.5</v>
      </c>
      <c r="P7" s="36">
        <f t="shared" si="1"/>
        <v>120.7</v>
      </c>
      <c r="Q7" s="37">
        <f t="shared" si="2"/>
        <v>0.1067952575</v>
      </c>
    </row>
    <row r="8">
      <c r="A8" s="26">
        <v>45852.0</v>
      </c>
      <c r="B8" s="26">
        <v>45857.0</v>
      </c>
      <c r="C8" s="26">
        <v>45857.0</v>
      </c>
      <c r="D8" s="17" t="s">
        <v>69</v>
      </c>
      <c r="E8" s="17" t="s">
        <v>74</v>
      </c>
      <c r="F8" s="32">
        <v>0.5</v>
      </c>
      <c r="G8" s="32">
        <v>0.5833333333333334</v>
      </c>
      <c r="H8" s="17">
        <v>31.0</v>
      </c>
      <c r="I8" s="38" t="s">
        <v>75</v>
      </c>
      <c r="J8" s="34" t="s">
        <v>76</v>
      </c>
      <c r="K8" s="34" t="s">
        <v>61</v>
      </c>
      <c r="L8" s="34" t="s">
        <v>62</v>
      </c>
      <c r="M8" s="35">
        <v>37484.0</v>
      </c>
      <c r="N8" s="11">
        <v>189.3</v>
      </c>
      <c r="O8" s="11">
        <v>76.02</v>
      </c>
      <c r="P8" s="36">
        <f t="shared" si="1"/>
        <v>113.28</v>
      </c>
      <c r="Q8" s="37">
        <f t="shared" si="2"/>
        <v>0.5984152139</v>
      </c>
    </row>
    <row r="9">
      <c r="A9" s="26">
        <v>45852.0</v>
      </c>
      <c r="B9" s="26">
        <v>45857.0</v>
      </c>
      <c r="C9" s="26">
        <v>45857.0</v>
      </c>
      <c r="D9" s="17" t="s">
        <v>69</v>
      </c>
      <c r="E9" s="17" t="s">
        <v>74</v>
      </c>
      <c r="F9" s="32">
        <v>0.5</v>
      </c>
      <c r="G9" s="32">
        <v>0.5833333333333334</v>
      </c>
      <c r="H9" s="17">
        <v>32.0</v>
      </c>
      <c r="I9" s="38" t="s">
        <v>77</v>
      </c>
      <c r="J9" s="34" t="s">
        <v>76</v>
      </c>
      <c r="K9" s="34" t="s">
        <v>64</v>
      </c>
      <c r="L9" s="34" t="s">
        <v>65</v>
      </c>
      <c r="M9" s="35">
        <v>36664.0</v>
      </c>
      <c r="N9" s="11">
        <v>189.3</v>
      </c>
      <c r="O9" s="11">
        <v>76.02</v>
      </c>
      <c r="P9" s="36">
        <f t="shared" si="1"/>
        <v>113.28</v>
      </c>
      <c r="Q9" s="37">
        <f t="shared" si="2"/>
        <v>0.5984152139</v>
      </c>
    </row>
    <row r="10">
      <c r="A10" s="26">
        <v>45852.0</v>
      </c>
      <c r="B10" s="26">
        <v>45857.0</v>
      </c>
      <c r="C10" s="26">
        <v>45857.0</v>
      </c>
      <c r="D10" s="17" t="s">
        <v>69</v>
      </c>
      <c r="E10" s="17" t="s">
        <v>74</v>
      </c>
      <c r="F10" s="32">
        <v>0.5</v>
      </c>
      <c r="G10" s="32">
        <v>0.5833333333333334</v>
      </c>
      <c r="H10" s="17">
        <v>35.0</v>
      </c>
      <c r="I10" s="38" t="s">
        <v>78</v>
      </c>
      <c r="J10" s="34" t="s">
        <v>76</v>
      </c>
      <c r="K10" s="34" t="s">
        <v>67</v>
      </c>
      <c r="L10" s="17" t="s">
        <v>68</v>
      </c>
      <c r="M10" s="35">
        <v>39152.0</v>
      </c>
      <c r="N10" s="11">
        <v>189.3</v>
      </c>
      <c r="O10" s="11">
        <v>76.02</v>
      </c>
      <c r="P10" s="36">
        <f t="shared" si="1"/>
        <v>113.28</v>
      </c>
      <c r="Q10" s="37">
        <f t="shared" si="2"/>
        <v>0.5984152139</v>
      </c>
    </row>
    <row r="11">
      <c r="M11" s="17" t="s">
        <v>79</v>
      </c>
      <c r="N11" s="36">
        <f t="shared" ref="N11:O11" si="3">SUM(N2:N10)</f>
        <v>5832.6</v>
      </c>
      <c r="O11" s="36">
        <f t="shared" si="3"/>
        <v>4696.29</v>
      </c>
      <c r="P11" s="36">
        <f t="shared" si="1"/>
        <v>1136.31</v>
      </c>
      <c r="Q11" s="37">
        <f t="shared" si="2"/>
        <v>0.1948204917</v>
      </c>
    </row>
    <row r="12">
      <c r="R12" s="17" t="s">
        <v>80</v>
      </c>
    </row>
    <row r="15">
      <c r="K15" s="17">
        <v>6507.4</v>
      </c>
    </row>
    <row r="16">
      <c r="C16" s="39" t="s">
        <v>81</v>
      </c>
      <c r="D16" s="39" t="s">
        <v>44</v>
      </c>
      <c r="E16" s="39" t="s">
        <v>45</v>
      </c>
      <c r="F16" s="39" t="s">
        <v>82</v>
      </c>
      <c r="K16" s="8">
        <f>K15/4</f>
        <v>1626.85</v>
      </c>
    </row>
    <row r="17">
      <c r="C17" s="40">
        <v>45687.0</v>
      </c>
      <c r="D17" s="41" t="s">
        <v>57</v>
      </c>
      <c r="E17" s="41" t="s">
        <v>58</v>
      </c>
      <c r="F17" s="42">
        <v>624.7</v>
      </c>
      <c r="G17" s="8">
        <f t="shared" ref="G17:G20" si="4">F17/SUM(F$17:F$20)</f>
        <v>0.3181725578</v>
      </c>
      <c r="H17" s="43">
        <v>517.62</v>
      </c>
    </row>
    <row r="18">
      <c r="C18" s="40">
        <v>45688.0</v>
      </c>
      <c r="D18" s="41" t="s">
        <v>83</v>
      </c>
      <c r="E18" s="41" t="s">
        <v>84</v>
      </c>
      <c r="F18" s="42">
        <v>357.0</v>
      </c>
      <c r="G18" s="8">
        <f t="shared" si="4"/>
        <v>0.1818274422</v>
      </c>
      <c r="H18" s="43">
        <v>295.01</v>
      </c>
    </row>
    <row r="19">
      <c r="C19" s="40">
        <v>45694.0</v>
      </c>
      <c r="D19" s="41" t="s">
        <v>84</v>
      </c>
      <c r="E19" s="41" t="s">
        <v>83</v>
      </c>
      <c r="F19" s="42">
        <v>357.0</v>
      </c>
      <c r="G19" s="8">
        <f t="shared" si="4"/>
        <v>0.1818274422</v>
      </c>
      <c r="H19" s="43">
        <v>295.0</v>
      </c>
    </row>
    <row r="20">
      <c r="C20" s="40">
        <v>45695.0</v>
      </c>
      <c r="D20" s="41" t="s">
        <v>58</v>
      </c>
      <c r="E20" s="41" t="s">
        <v>57</v>
      </c>
      <c r="F20" s="42">
        <v>624.7</v>
      </c>
      <c r="G20" s="8">
        <f t="shared" si="4"/>
        <v>0.3181725578</v>
      </c>
      <c r="H20" s="43">
        <v>517.62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9.38"/>
    <col customWidth="1" min="3" max="3" width="14.25"/>
    <col customWidth="1" min="4" max="5" width="15.75"/>
    <col customWidth="1" min="6" max="6" width="14.5"/>
    <col customWidth="1" min="7" max="7" width="17.75"/>
    <col customWidth="1" min="8" max="8" width="9.0"/>
    <col customWidth="1" min="9" max="9" width="15.25"/>
    <col customWidth="1" min="10" max="10" width="14.38"/>
    <col customWidth="1" min="11" max="11" width="37.25"/>
    <col customWidth="1" min="12" max="12" width="12.5"/>
    <col customWidth="1" min="13" max="16" width="10.13"/>
  </cols>
  <sheetData>
    <row r="1">
      <c r="A1" s="29" t="s">
        <v>42</v>
      </c>
      <c r="B1" s="29" t="s">
        <v>19</v>
      </c>
      <c r="C1" s="29" t="s">
        <v>43</v>
      </c>
      <c r="D1" s="29" t="s">
        <v>44</v>
      </c>
      <c r="E1" s="29" t="s">
        <v>45</v>
      </c>
      <c r="F1" s="29" t="s">
        <v>46</v>
      </c>
      <c r="G1" s="29" t="s">
        <v>47</v>
      </c>
      <c r="H1" s="29" t="s">
        <v>48</v>
      </c>
      <c r="I1" s="44" t="s">
        <v>49</v>
      </c>
      <c r="J1" s="29" t="s">
        <v>50</v>
      </c>
      <c r="K1" s="29" t="s">
        <v>51</v>
      </c>
      <c r="L1" s="29" t="s">
        <v>52</v>
      </c>
      <c r="M1" s="29" t="s">
        <v>53</v>
      </c>
      <c r="N1" s="30" t="s">
        <v>54</v>
      </c>
      <c r="O1" s="30" t="s">
        <v>4</v>
      </c>
      <c r="P1" s="30" t="s">
        <v>10</v>
      </c>
      <c r="Q1" s="31" t="s">
        <v>55</v>
      </c>
      <c r="R1" s="17" t="s">
        <v>85</v>
      </c>
    </row>
    <row r="2">
      <c r="A2" s="26">
        <v>45852.0</v>
      </c>
      <c r="B2" s="26">
        <v>45858.0</v>
      </c>
      <c r="C2" s="26">
        <v>45858.0</v>
      </c>
      <c r="D2" s="17" t="s">
        <v>86</v>
      </c>
      <c r="E2" s="17" t="s">
        <v>87</v>
      </c>
      <c r="F2" s="32">
        <v>0.34375</v>
      </c>
      <c r="G2" s="32">
        <v>0.46875</v>
      </c>
      <c r="H2" s="17">
        <v>23.0</v>
      </c>
      <c r="I2" s="45" t="s">
        <v>88</v>
      </c>
      <c r="J2" s="34" t="s">
        <v>76</v>
      </c>
      <c r="K2" s="17" t="s">
        <v>89</v>
      </c>
      <c r="L2" s="34" t="s">
        <v>90</v>
      </c>
      <c r="M2" s="46">
        <v>37757.0</v>
      </c>
      <c r="N2" s="11">
        <v>496.99</v>
      </c>
      <c r="O2" s="11">
        <v>386.4</v>
      </c>
      <c r="P2" s="36">
        <f t="shared" ref="P2:P12" si="1">N2-O2</f>
        <v>110.59</v>
      </c>
      <c r="Q2" s="37">
        <f t="shared" ref="Q2:Q12" si="2">P2/N2</f>
        <v>0.2225195678</v>
      </c>
    </row>
    <row r="3">
      <c r="A3" s="26">
        <v>45852.0</v>
      </c>
      <c r="B3" s="26">
        <v>45858.0</v>
      </c>
      <c r="C3" s="26">
        <v>45858.0</v>
      </c>
      <c r="D3" s="17" t="s">
        <v>86</v>
      </c>
      <c r="E3" s="17" t="s">
        <v>87</v>
      </c>
      <c r="F3" s="32">
        <v>0.34375</v>
      </c>
      <c r="G3" s="32">
        <v>0.46875</v>
      </c>
      <c r="H3" s="17">
        <v>20.0</v>
      </c>
      <c r="I3" s="45" t="s">
        <v>91</v>
      </c>
      <c r="J3" s="34" t="s">
        <v>76</v>
      </c>
      <c r="K3" s="17" t="s">
        <v>92</v>
      </c>
      <c r="L3" s="34" t="s">
        <v>93</v>
      </c>
      <c r="M3" s="46">
        <v>37515.0</v>
      </c>
      <c r="N3" s="11">
        <v>496.99</v>
      </c>
      <c r="O3" s="11">
        <v>386.4</v>
      </c>
      <c r="P3" s="36">
        <f t="shared" si="1"/>
        <v>110.59</v>
      </c>
      <c r="Q3" s="37">
        <f t="shared" si="2"/>
        <v>0.2225195678</v>
      </c>
    </row>
    <row r="4">
      <c r="A4" s="26">
        <v>45852.0</v>
      </c>
      <c r="B4" s="26">
        <v>45858.0</v>
      </c>
      <c r="C4" s="26">
        <v>45858.0</v>
      </c>
      <c r="D4" s="17" t="s">
        <v>86</v>
      </c>
      <c r="E4" s="17" t="s">
        <v>87</v>
      </c>
      <c r="F4" s="32">
        <v>0.34375</v>
      </c>
      <c r="G4" s="32">
        <v>0.46875</v>
      </c>
      <c r="H4" s="17">
        <v>14.0</v>
      </c>
      <c r="I4" s="45" t="s">
        <v>94</v>
      </c>
      <c r="J4" s="34" t="s">
        <v>76</v>
      </c>
      <c r="K4" s="17" t="s">
        <v>95</v>
      </c>
      <c r="L4" s="17" t="s">
        <v>96</v>
      </c>
      <c r="M4" s="46">
        <v>38102.0</v>
      </c>
      <c r="N4" s="11">
        <v>496.99</v>
      </c>
      <c r="O4" s="11">
        <v>386.4</v>
      </c>
      <c r="P4" s="36">
        <f t="shared" si="1"/>
        <v>110.59</v>
      </c>
      <c r="Q4" s="37">
        <f t="shared" si="2"/>
        <v>0.2225195678</v>
      </c>
    </row>
    <row r="5">
      <c r="A5" s="26">
        <v>45852.0</v>
      </c>
      <c r="B5" s="26">
        <v>45858.0</v>
      </c>
      <c r="C5" s="26">
        <v>45858.0</v>
      </c>
      <c r="D5" s="17" t="s">
        <v>86</v>
      </c>
      <c r="E5" s="17" t="s">
        <v>87</v>
      </c>
      <c r="F5" s="32">
        <v>0.34375</v>
      </c>
      <c r="G5" s="32">
        <v>0.46875</v>
      </c>
      <c r="H5" s="17">
        <v>10.0</v>
      </c>
      <c r="I5" s="45" t="s">
        <v>97</v>
      </c>
      <c r="J5" s="34" t="s">
        <v>76</v>
      </c>
      <c r="K5" s="17" t="s">
        <v>98</v>
      </c>
      <c r="L5" s="34" t="s">
        <v>99</v>
      </c>
      <c r="M5" s="46">
        <v>38270.0</v>
      </c>
      <c r="N5" s="11">
        <v>496.99</v>
      </c>
      <c r="O5" s="11">
        <v>386.4</v>
      </c>
      <c r="P5" s="36">
        <f t="shared" si="1"/>
        <v>110.59</v>
      </c>
      <c r="Q5" s="37">
        <f t="shared" si="2"/>
        <v>0.2225195678</v>
      </c>
    </row>
    <row r="6">
      <c r="A6" s="26">
        <v>45852.0</v>
      </c>
      <c r="B6" s="26">
        <v>45858.0</v>
      </c>
      <c r="C6" s="26">
        <v>45858.0</v>
      </c>
      <c r="D6" s="17" t="s">
        <v>86</v>
      </c>
      <c r="E6" s="17" t="s">
        <v>87</v>
      </c>
      <c r="F6" s="32">
        <v>0.34375</v>
      </c>
      <c r="G6" s="32">
        <v>0.46875</v>
      </c>
      <c r="H6" s="17">
        <v>15.0</v>
      </c>
      <c r="I6" s="45" t="s">
        <v>100</v>
      </c>
      <c r="J6" s="34" t="s">
        <v>76</v>
      </c>
      <c r="K6" s="17" t="s">
        <v>101</v>
      </c>
      <c r="L6" s="34" t="s">
        <v>102</v>
      </c>
      <c r="M6" s="46">
        <v>38523.0</v>
      </c>
      <c r="N6" s="11">
        <v>496.99</v>
      </c>
      <c r="O6" s="11">
        <v>386.4</v>
      </c>
      <c r="P6" s="36">
        <f t="shared" si="1"/>
        <v>110.59</v>
      </c>
      <c r="Q6" s="37">
        <f t="shared" si="2"/>
        <v>0.2225195678</v>
      </c>
    </row>
    <row r="7">
      <c r="A7" s="26">
        <v>45852.0</v>
      </c>
      <c r="B7" s="26">
        <v>45858.0</v>
      </c>
      <c r="C7" s="26">
        <v>45858.0</v>
      </c>
      <c r="D7" s="17" t="s">
        <v>86</v>
      </c>
      <c r="E7" s="17" t="s">
        <v>87</v>
      </c>
      <c r="F7" s="32">
        <v>0.34375</v>
      </c>
      <c r="G7" s="32">
        <v>0.46875</v>
      </c>
      <c r="H7" s="17">
        <v>19.0</v>
      </c>
      <c r="I7" s="45" t="s">
        <v>103</v>
      </c>
      <c r="J7" s="34" t="s">
        <v>76</v>
      </c>
      <c r="K7" s="17" t="s">
        <v>104</v>
      </c>
      <c r="L7" s="17" t="s">
        <v>105</v>
      </c>
      <c r="M7" s="46">
        <v>37770.0</v>
      </c>
      <c r="N7" s="11">
        <v>496.99</v>
      </c>
      <c r="O7" s="11">
        <v>386.4</v>
      </c>
      <c r="P7" s="36">
        <f t="shared" si="1"/>
        <v>110.59</v>
      </c>
      <c r="Q7" s="37">
        <f t="shared" si="2"/>
        <v>0.2225195678</v>
      </c>
    </row>
    <row r="8">
      <c r="A8" s="26">
        <v>45852.0</v>
      </c>
      <c r="B8" s="26">
        <v>45858.0</v>
      </c>
      <c r="C8" s="26">
        <v>45858.0</v>
      </c>
      <c r="D8" s="17" t="s">
        <v>86</v>
      </c>
      <c r="E8" s="17" t="s">
        <v>87</v>
      </c>
      <c r="F8" s="32">
        <v>0.34375</v>
      </c>
      <c r="G8" s="32">
        <v>0.46875</v>
      </c>
      <c r="H8" s="17">
        <v>8.0</v>
      </c>
      <c r="I8" s="45" t="s">
        <v>106</v>
      </c>
      <c r="J8" s="34" t="s">
        <v>76</v>
      </c>
      <c r="K8" s="47" t="s">
        <v>107</v>
      </c>
      <c r="L8" s="34" t="s">
        <v>108</v>
      </c>
      <c r="M8" s="46">
        <v>37395.0</v>
      </c>
      <c r="N8" s="11">
        <v>496.99</v>
      </c>
      <c r="O8" s="11">
        <v>386.4</v>
      </c>
      <c r="P8" s="36">
        <f t="shared" si="1"/>
        <v>110.59</v>
      </c>
      <c r="Q8" s="37">
        <f t="shared" si="2"/>
        <v>0.2225195678</v>
      </c>
    </row>
    <row r="9">
      <c r="A9" s="26">
        <v>45852.0</v>
      </c>
      <c r="B9" s="26">
        <v>45858.0</v>
      </c>
      <c r="C9" s="26">
        <v>45858.0</v>
      </c>
      <c r="D9" s="17" t="s">
        <v>86</v>
      </c>
      <c r="E9" s="17" t="s">
        <v>87</v>
      </c>
      <c r="F9" s="32">
        <v>0.34375</v>
      </c>
      <c r="G9" s="32">
        <v>0.46875</v>
      </c>
      <c r="H9" s="17">
        <v>4.0</v>
      </c>
      <c r="I9" s="45" t="s">
        <v>109</v>
      </c>
      <c r="J9" s="34" t="s">
        <v>76</v>
      </c>
      <c r="K9" s="17" t="s">
        <v>110</v>
      </c>
      <c r="L9" s="34" t="s">
        <v>111</v>
      </c>
      <c r="M9" s="46">
        <v>37474.0</v>
      </c>
      <c r="N9" s="11">
        <v>496.99</v>
      </c>
      <c r="O9" s="11">
        <v>386.4</v>
      </c>
      <c r="P9" s="36">
        <f t="shared" si="1"/>
        <v>110.59</v>
      </c>
      <c r="Q9" s="37">
        <f t="shared" si="2"/>
        <v>0.2225195678</v>
      </c>
    </row>
    <row r="10">
      <c r="A10" s="26">
        <v>45852.0</v>
      </c>
      <c r="B10" s="26">
        <v>45858.0</v>
      </c>
      <c r="C10" s="26">
        <v>45858.0</v>
      </c>
      <c r="D10" s="17" t="s">
        <v>86</v>
      </c>
      <c r="E10" s="17" t="s">
        <v>87</v>
      </c>
      <c r="F10" s="32">
        <v>0.34375</v>
      </c>
      <c r="G10" s="32">
        <v>0.46875</v>
      </c>
      <c r="H10" s="17">
        <v>9.0</v>
      </c>
      <c r="I10" s="45" t="s">
        <v>112</v>
      </c>
      <c r="J10" s="34" t="s">
        <v>76</v>
      </c>
      <c r="K10" s="17" t="s">
        <v>113</v>
      </c>
      <c r="L10" s="17" t="s">
        <v>114</v>
      </c>
      <c r="M10" s="46">
        <v>38335.0</v>
      </c>
      <c r="N10" s="11">
        <v>496.99</v>
      </c>
      <c r="O10" s="11">
        <v>386.4</v>
      </c>
      <c r="P10" s="36">
        <f t="shared" si="1"/>
        <v>110.59</v>
      </c>
      <c r="Q10" s="37">
        <f t="shared" si="2"/>
        <v>0.2225195678</v>
      </c>
    </row>
    <row r="11">
      <c r="A11" s="26">
        <v>45852.0</v>
      </c>
      <c r="B11" s="26">
        <v>45858.0</v>
      </c>
      <c r="C11" s="26">
        <v>45858.0</v>
      </c>
      <c r="D11" s="17" t="s">
        <v>86</v>
      </c>
      <c r="E11" s="17" t="s">
        <v>87</v>
      </c>
      <c r="F11" s="32">
        <v>0.34375</v>
      </c>
      <c r="G11" s="32">
        <v>0.46875</v>
      </c>
      <c r="H11" s="17">
        <v>7.0</v>
      </c>
      <c r="I11" s="45" t="s">
        <v>115</v>
      </c>
      <c r="J11" s="34" t="s">
        <v>76</v>
      </c>
      <c r="K11" s="17" t="s">
        <v>116</v>
      </c>
      <c r="L11" s="17" t="s">
        <v>117</v>
      </c>
      <c r="M11" s="48">
        <v>38096.0</v>
      </c>
      <c r="N11" s="11">
        <v>496.99</v>
      </c>
      <c r="O11" s="11">
        <v>386.4</v>
      </c>
      <c r="P11" s="36">
        <f t="shared" si="1"/>
        <v>110.59</v>
      </c>
      <c r="Q11" s="37">
        <f t="shared" si="2"/>
        <v>0.2225195678</v>
      </c>
    </row>
    <row r="12">
      <c r="A12" s="26">
        <v>45852.0</v>
      </c>
      <c r="B12" s="26">
        <v>45858.0</v>
      </c>
      <c r="C12" s="26">
        <v>45858.0</v>
      </c>
      <c r="D12" s="17" t="s">
        <v>86</v>
      </c>
      <c r="E12" s="17" t="s">
        <v>87</v>
      </c>
      <c r="F12" s="32">
        <v>0.34375</v>
      </c>
      <c r="G12" s="32">
        <v>0.46875</v>
      </c>
      <c r="H12" s="17">
        <v>5.0</v>
      </c>
      <c r="I12" s="45" t="s">
        <v>118</v>
      </c>
      <c r="J12" s="34" t="s">
        <v>76</v>
      </c>
      <c r="K12" s="17" t="s">
        <v>119</v>
      </c>
      <c r="L12" s="17" t="s">
        <v>120</v>
      </c>
      <c r="M12" s="48">
        <v>38702.0</v>
      </c>
      <c r="N12" s="11">
        <v>496.99</v>
      </c>
      <c r="O12" s="11">
        <v>386.4</v>
      </c>
      <c r="P12" s="36">
        <f t="shared" si="1"/>
        <v>110.59</v>
      </c>
      <c r="Q12" s="37">
        <f t="shared" si="2"/>
        <v>0.2225195678</v>
      </c>
    </row>
    <row r="13">
      <c r="A13" s="26">
        <v>45852.0</v>
      </c>
      <c r="B13" s="26">
        <v>45858.0</v>
      </c>
      <c r="C13" s="26">
        <v>45858.0</v>
      </c>
      <c r="D13" s="17" t="s">
        <v>87</v>
      </c>
      <c r="E13" s="17" t="s">
        <v>74</v>
      </c>
      <c r="F13" s="32">
        <v>0.5416666666666666</v>
      </c>
      <c r="G13" s="32">
        <v>0.6458333333333334</v>
      </c>
      <c r="H13" s="17">
        <v>15.0</v>
      </c>
      <c r="I13" s="45" t="s">
        <v>121</v>
      </c>
      <c r="J13" s="34" t="s">
        <v>76</v>
      </c>
      <c r="K13" s="17" t="s">
        <v>89</v>
      </c>
      <c r="L13" s="34" t="s">
        <v>90</v>
      </c>
      <c r="M13" s="46">
        <v>37757.0</v>
      </c>
    </row>
    <row r="14">
      <c r="A14" s="26">
        <v>45852.0</v>
      </c>
      <c r="B14" s="26">
        <v>45858.0</v>
      </c>
      <c r="C14" s="26">
        <v>45858.0</v>
      </c>
      <c r="D14" s="17" t="s">
        <v>87</v>
      </c>
      <c r="E14" s="17" t="s">
        <v>74</v>
      </c>
      <c r="F14" s="32">
        <v>0.5416666666666666</v>
      </c>
      <c r="G14" s="32">
        <v>0.6458333333333334</v>
      </c>
      <c r="H14" s="17">
        <v>19.0</v>
      </c>
      <c r="I14" s="45" t="s">
        <v>122</v>
      </c>
      <c r="J14" s="34" t="s">
        <v>76</v>
      </c>
      <c r="K14" s="17" t="s">
        <v>92</v>
      </c>
      <c r="L14" s="34" t="s">
        <v>93</v>
      </c>
      <c r="M14" s="46">
        <v>37515.0</v>
      </c>
    </row>
    <row r="15">
      <c r="A15" s="26">
        <v>45852.0</v>
      </c>
      <c r="B15" s="26">
        <v>45858.0</v>
      </c>
      <c r="C15" s="26">
        <v>45858.0</v>
      </c>
      <c r="D15" s="17" t="s">
        <v>87</v>
      </c>
      <c r="E15" s="17" t="s">
        <v>74</v>
      </c>
      <c r="F15" s="32">
        <v>0.5416666666666666</v>
      </c>
      <c r="G15" s="32">
        <v>0.6458333333333334</v>
      </c>
      <c r="H15" s="17">
        <v>23.0</v>
      </c>
      <c r="I15" s="45" t="s">
        <v>123</v>
      </c>
      <c r="J15" s="34" t="s">
        <v>76</v>
      </c>
      <c r="K15" s="17" t="s">
        <v>95</v>
      </c>
      <c r="L15" s="17" t="s">
        <v>96</v>
      </c>
      <c r="M15" s="46">
        <v>38102.0</v>
      </c>
    </row>
    <row r="16">
      <c r="A16" s="26">
        <v>45852.0</v>
      </c>
      <c r="B16" s="26">
        <v>45858.0</v>
      </c>
      <c r="C16" s="26">
        <v>45858.0</v>
      </c>
      <c r="D16" s="17" t="s">
        <v>87</v>
      </c>
      <c r="E16" s="17" t="s">
        <v>74</v>
      </c>
      <c r="F16" s="32">
        <v>0.5416666666666666</v>
      </c>
      <c r="G16" s="32">
        <v>0.6458333333333334</v>
      </c>
      <c r="H16" s="17">
        <v>16.0</v>
      </c>
      <c r="I16" s="45" t="s">
        <v>124</v>
      </c>
      <c r="J16" s="34" t="s">
        <v>76</v>
      </c>
      <c r="K16" s="17" t="s">
        <v>98</v>
      </c>
      <c r="L16" s="34" t="s">
        <v>99</v>
      </c>
      <c r="M16" s="46">
        <v>38270.0</v>
      </c>
    </row>
    <row r="17">
      <c r="A17" s="26">
        <v>45852.0</v>
      </c>
      <c r="B17" s="26">
        <v>45858.0</v>
      </c>
      <c r="C17" s="26">
        <v>45858.0</v>
      </c>
      <c r="D17" s="17" t="s">
        <v>87</v>
      </c>
      <c r="E17" s="17" t="s">
        <v>74</v>
      </c>
      <c r="F17" s="32">
        <v>0.5416666666666666</v>
      </c>
      <c r="G17" s="32">
        <v>0.6458333333333334</v>
      </c>
      <c r="H17" s="17">
        <v>12.0</v>
      </c>
      <c r="I17" s="45" t="s">
        <v>125</v>
      </c>
      <c r="J17" s="34" t="s">
        <v>76</v>
      </c>
      <c r="K17" s="17" t="s">
        <v>101</v>
      </c>
      <c r="L17" s="34" t="s">
        <v>102</v>
      </c>
      <c r="M17" s="46">
        <v>38523.0</v>
      </c>
    </row>
    <row r="18">
      <c r="A18" s="26">
        <v>45852.0</v>
      </c>
      <c r="B18" s="26">
        <v>45858.0</v>
      </c>
      <c r="C18" s="26">
        <v>45858.0</v>
      </c>
      <c r="D18" s="17" t="s">
        <v>87</v>
      </c>
      <c r="E18" s="17" t="s">
        <v>74</v>
      </c>
      <c r="F18" s="32">
        <v>0.5416666666666666</v>
      </c>
      <c r="G18" s="32">
        <v>0.6458333333333334</v>
      </c>
      <c r="H18" s="17">
        <v>27.0</v>
      </c>
      <c r="I18" s="45" t="s">
        <v>126</v>
      </c>
      <c r="J18" s="34" t="s">
        <v>76</v>
      </c>
      <c r="K18" s="17" t="s">
        <v>104</v>
      </c>
      <c r="L18" s="17" t="s">
        <v>105</v>
      </c>
      <c r="M18" s="46">
        <v>37770.0</v>
      </c>
    </row>
    <row r="19">
      <c r="A19" s="26">
        <v>45852.0</v>
      </c>
      <c r="B19" s="26">
        <v>45858.0</v>
      </c>
      <c r="C19" s="26">
        <v>45858.0</v>
      </c>
      <c r="D19" s="17" t="s">
        <v>87</v>
      </c>
      <c r="E19" s="17" t="s">
        <v>74</v>
      </c>
      <c r="F19" s="32">
        <v>0.5416666666666666</v>
      </c>
      <c r="G19" s="32">
        <v>0.6458333333333334</v>
      </c>
      <c r="H19" s="17">
        <v>20.0</v>
      </c>
      <c r="I19" s="45" t="s">
        <v>127</v>
      </c>
      <c r="J19" s="34" t="s">
        <v>76</v>
      </c>
      <c r="K19" s="47" t="s">
        <v>107</v>
      </c>
      <c r="L19" s="34" t="s">
        <v>108</v>
      </c>
      <c r="M19" s="46">
        <v>37395.0</v>
      </c>
    </row>
    <row r="20">
      <c r="A20" s="26">
        <v>45852.0</v>
      </c>
      <c r="B20" s="26">
        <v>45858.0</v>
      </c>
      <c r="C20" s="26">
        <v>45858.0</v>
      </c>
      <c r="D20" s="17" t="s">
        <v>87</v>
      </c>
      <c r="E20" s="17" t="s">
        <v>74</v>
      </c>
      <c r="F20" s="32">
        <v>0.5416666666666666</v>
      </c>
      <c r="G20" s="32">
        <v>0.6458333333333334</v>
      </c>
      <c r="H20" s="17">
        <v>24.0</v>
      </c>
      <c r="I20" s="45" t="s">
        <v>128</v>
      </c>
      <c r="J20" s="34" t="s">
        <v>76</v>
      </c>
      <c r="K20" s="17" t="s">
        <v>110</v>
      </c>
      <c r="L20" s="34" t="s">
        <v>111</v>
      </c>
      <c r="M20" s="46">
        <v>37474.0</v>
      </c>
    </row>
    <row r="21">
      <c r="A21" s="26">
        <v>45852.0</v>
      </c>
      <c r="B21" s="26">
        <v>45858.0</v>
      </c>
      <c r="C21" s="26">
        <v>45858.0</v>
      </c>
      <c r="D21" s="17" t="s">
        <v>87</v>
      </c>
      <c r="E21" s="17" t="s">
        <v>74</v>
      </c>
      <c r="F21" s="32">
        <v>0.5416666666666666</v>
      </c>
      <c r="G21" s="32">
        <v>0.6458333333333334</v>
      </c>
      <c r="H21" s="17">
        <v>28.0</v>
      </c>
      <c r="I21" s="45" t="s">
        <v>129</v>
      </c>
      <c r="J21" s="34" t="s">
        <v>76</v>
      </c>
      <c r="K21" s="17" t="s">
        <v>113</v>
      </c>
      <c r="L21" s="17" t="s">
        <v>114</v>
      </c>
      <c r="M21" s="46">
        <v>38335.0</v>
      </c>
    </row>
    <row r="22">
      <c r="A22" s="26">
        <v>45852.0</v>
      </c>
      <c r="B22" s="26">
        <v>45858.0</v>
      </c>
      <c r="C22" s="26">
        <v>45858.0</v>
      </c>
      <c r="D22" s="17" t="s">
        <v>87</v>
      </c>
      <c r="E22" s="17" t="s">
        <v>74</v>
      </c>
      <c r="F22" s="32">
        <v>0.5416666666666666</v>
      </c>
      <c r="G22" s="32">
        <v>0.6458333333333334</v>
      </c>
      <c r="H22" s="17">
        <v>31.0</v>
      </c>
      <c r="I22" s="45" t="s">
        <v>130</v>
      </c>
      <c r="J22" s="34" t="s">
        <v>76</v>
      </c>
      <c r="K22" s="17" t="s">
        <v>116</v>
      </c>
      <c r="L22" s="17" t="s">
        <v>117</v>
      </c>
      <c r="M22" s="48">
        <v>38096.0</v>
      </c>
    </row>
    <row r="23">
      <c r="A23" s="26">
        <v>45852.0</v>
      </c>
      <c r="B23" s="26">
        <v>45858.0</v>
      </c>
      <c r="C23" s="26">
        <v>45858.0</v>
      </c>
      <c r="D23" s="17" t="s">
        <v>87</v>
      </c>
      <c r="E23" s="17" t="s">
        <v>74</v>
      </c>
      <c r="F23" s="32">
        <v>0.5416666666666666</v>
      </c>
      <c r="G23" s="32">
        <v>0.6458333333333334</v>
      </c>
      <c r="H23" s="17">
        <v>11.0</v>
      </c>
      <c r="I23" s="45" t="s">
        <v>131</v>
      </c>
      <c r="J23" s="34" t="s">
        <v>76</v>
      </c>
      <c r="K23" s="17" t="s">
        <v>119</v>
      </c>
      <c r="L23" s="17" t="s">
        <v>120</v>
      </c>
      <c r="M23" s="48">
        <v>38702.0</v>
      </c>
    </row>
    <row r="24">
      <c r="A24" s="26">
        <v>45852.0</v>
      </c>
      <c r="B24" s="26">
        <v>45863.0</v>
      </c>
      <c r="C24" s="26">
        <v>45863.0</v>
      </c>
      <c r="D24" s="17" t="s">
        <v>74</v>
      </c>
      <c r="E24" s="17" t="s">
        <v>87</v>
      </c>
      <c r="F24" s="32">
        <v>0.5416666666666666</v>
      </c>
      <c r="G24" s="32">
        <v>0.6388888888888888</v>
      </c>
      <c r="H24" s="17">
        <v>3.0</v>
      </c>
      <c r="I24" s="45" t="s">
        <v>132</v>
      </c>
      <c r="N24" s="36">
        <f>SUM(N2:N23)</f>
        <v>5466.89</v>
      </c>
      <c r="R24" s="17" t="s">
        <v>133</v>
      </c>
    </row>
    <row r="25">
      <c r="D25" s="17" t="s">
        <v>134</v>
      </c>
      <c r="E25" s="17" t="s">
        <v>134</v>
      </c>
    </row>
    <row r="26">
      <c r="D26" s="17" t="s">
        <v>134</v>
      </c>
      <c r="E26" s="17" t="s">
        <v>134</v>
      </c>
    </row>
    <row r="27">
      <c r="D27" s="17" t="s">
        <v>134</v>
      </c>
      <c r="E27" s="17" t="s">
        <v>134</v>
      </c>
    </row>
  </sheetData>
  <dataValidations>
    <dataValidation type="list" allowBlank="1" showErrorMessage="1" sqref="D25:E27">
      <formula1>"PIRASSUNUNGA,TIETE,TAUBATE,-"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7" t="s">
        <v>14</v>
      </c>
      <c r="B1" s="17" t="s">
        <v>135</v>
      </c>
      <c r="C1" s="17" t="s">
        <v>16</v>
      </c>
    </row>
    <row r="2">
      <c r="A2" s="17" t="str">
        <f>IFERROR(__xludf.DUMMYFUNCTION("IMPORTRANGE(""https://docs.google.com/spreadsheets/d/1aTvIrqNmmcWMKGcvTQK3YcRRqao-8Pnts2s5Mjh-jtA/edit?gid=0#gid=0"",""PASSAGEIROS!C2:e500"")"),"Gabriela Camargo Flose")</f>
        <v>Gabriela Camargo Flose</v>
      </c>
      <c r="B2" s="49">
        <f>IFERROR(__xludf.DUMMYFUNCTION("""COMPUTED_VALUE"""),36638.0)</f>
        <v>36638</v>
      </c>
      <c r="C2" s="50" t="str">
        <f>IFERROR(__xludf.DUMMYFUNCTION("""COMPUTED_VALUE"""),"51324394897")</f>
        <v>51324394897</v>
      </c>
    </row>
    <row r="3">
      <c r="A3" s="8" t="str">
        <f>IFERROR(__xludf.DUMMYFUNCTION("""COMPUTED_VALUE"""),"Gabriel Venâncio Georgino")</f>
        <v>Gabriel Venâncio Georgino</v>
      </c>
      <c r="B3" s="49">
        <f>IFERROR(__xludf.DUMMYFUNCTION("""COMPUTED_VALUE"""),35465.0)</f>
        <v>35465</v>
      </c>
      <c r="C3" s="50" t="str">
        <f>IFERROR(__xludf.DUMMYFUNCTION("""COMPUTED_VALUE"""),"45662704830")</f>
        <v>45662704830</v>
      </c>
    </row>
    <row r="4">
      <c r="A4" s="8" t="str">
        <f>IFERROR(__xludf.DUMMYFUNCTION("""COMPUTED_VALUE"""),"Graziela Ribeiro Caires")</f>
        <v>Graziela Ribeiro Caires</v>
      </c>
      <c r="B4" s="49">
        <f>IFERROR(__xludf.DUMMYFUNCTION("""COMPUTED_VALUE"""),35674.0)</f>
        <v>35674</v>
      </c>
      <c r="C4" s="50" t="str">
        <f>IFERROR(__xludf.DUMMYFUNCTION("""COMPUTED_VALUE"""),"47208941866")</f>
        <v>47208941866</v>
      </c>
    </row>
    <row r="5">
      <c r="A5" s="8" t="str">
        <f>IFERROR(__xludf.DUMMYFUNCTION("""COMPUTED_VALUE"""),"Marcos Adriano Victor de Morais")</f>
        <v>Marcos Adriano Victor de Morais</v>
      </c>
      <c r="B5" s="49">
        <f>IFERROR(__xludf.DUMMYFUNCTION("""COMPUTED_VALUE"""),34373.0)</f>
        <v>34373</v>
      </c>
      <c r="C5" s="50" t="str">
        <f>IFERROR(__xludf.DUMMYFUNCTION("""COMPUTED_VALUE"""),"01739570480")</f>
        <v>01739570480</v>
      </c>
    </row>
    <row r="6">
      <c r="A6" s="8" t="str">
        <f>IFERROR(__xludf.DUMMYFUNCTION("""COMPUTED_VALUE"""),"Paula Passos Ferreira ")</f>
        <v>Paula Passos Ferreira </v>
      </c>
      <c r="B6" s="49">
        <f>IFERROR(__xludf.DUMMYFUNCTION("""COMPUTED_VALUE"""),33995.0)</f>
        <v>33995</v>
      </c>
      <c r="C6" s="8" t="str">
        <f>IFERROR(__xludf.DUMMYFUNCTION("""COMPUTED_VALUE"""),"406.588.548-52 ")</f>
        <v>406.588.548-52 </v>
      </c>
    </row>
    <row r="7">
      <c r="A7" s="8" t="str">
        <f>IFERROR(__xludf.DUMMYFUNCTION("""COMPUTED_VALUE"""),"Danilo Gomes da Silva ")</f>
        <v>Danilo Gomes da Silva </v>
      </c>
      <c r="B7" s="49">
        <f>IFERROR(__xludf.DUMMYFUNCTION("""COMPUTED_VALUE"""),33253.0)</f>
        <v>33253</v>
      </c>
      <c r="C7" s="8">
        <f>IFERROR(__xludf.DUMMYFUNCTION("""COMPUTED_VALUE"""),3.9125065823E10)</f>
        <v>39125065823</v>
      </c>
    </row>
    <row r="8">
      <c r="A8" s="8" t="str">
        <f>IFERROR(__xludf.DUMMYFUNCTION("""COMPUTED_VALUE"""),"Gustavo Alves de Oliveira ")</f>
        <v>Gustavo Alves de Oliveira </v>
      </c>
      <c r="B8" s="49">
        <f>IFERROR(__xludf.DUMMYFUNCTION("""COMPUTED_VALUE"""),36777.0)</f>
        <v>36777</v>
      </c>
      <c r="C8" s="8">
        <f>IFERROR(__xludf.DUMMYFUNCTION("""COMPUTED_VALUE"""),5.0470355816E10)</f>
        <v>50470355816</v>
      </c>
    </row>
    <row r="9">
      <c r="A9" s="8" t="str">
        <f>IFERROR(__xludf.DUMMYFUNCTION("""COMPUTED_VALUE"""),"Jonathan Soares Souza")</f>
        <v>Jonathan Soares Souza</v>
      </c>
      <c r="B9" s="49">
        <f>IFERROR(__xludf.DUMMYFUNCTION("""COMPUTED_VALUE"""),35435.0)</f>
        <v>35435</v>
      </c>
      <c r="C9" s="8">
        <f>IFERROR(__xludf.DUMMYFUNCTION("""COMPUTED_VALUE"""),4.5142516826E10)</f>
        <v>45142516826</v>
      </c>
    </row>
    <row r="10">
      <c r="A10" s="8" t="str">
        <f>IFERROR(__xludf.DUMMYFUNCTION("""COMPUTED_VALUE"""),"Thayná Almeida Calais")</f>
        <v>Thayná Almeida Calais</v>
      </c>
      <c r="B10" s="49">
        <f>IFERROR(__xludf.DUMMYFUNCTION("""COMPUTED_VALUE"""),37893.0)</f>
        <v>37893</v>
      </c>
      <c r="C10" s="8">
        <f>IFERROR(__xludf.DUMMYFUNCTION("""COMPUTED_VALUE"""),5.5535342831E10)</f>
        <v>55535342831</v>
      </c>
    </row>
    <row r="11">
      <c r="A11" s="8" t="str">
        <f>IFERROR(__xludf.DUMMYFUNCTION("""COMPUTED_VALUE"""),"Fabiana Letícia Baldo ")</f>
        <v>Fabiana Letícia Baldo </v>
      </c>
      <c r="B11" s="49">
        <f>IFERROR(__xludf.DUMMYFUNCTION("""COMPUTED_VALUE"""),32208.0)</f>
        <v>32208</v>
      </c>
      <c r="C11" s="8" t="str">
        <f>IFERROR(__xludf.DUMMYFUNCTION("""COMPUTED_VALUE"""),"358.806.428-10 ")</f>
        <v>358.806.428-10 </v>
      </c>
    </row>
    <row r="12">
      <c r="A12" s="8" t="str">
        <f>IFERROR(__xludf.DUMMYFUNCTION("""COMPUTED_VALUE"""),"Nicole de Souza Okinokabu")</f>
        <v>Nicole de Souza Okinokabu</v>
      </c>
      <c r="B12" s="49">
        <f>IFERROR(__xludf.DUMMYFUNCTION("""COMPUTED_VALUE"""),34742.0)</f>
        <v>34742</v>
      </c>
      <c r="C12" s="8" t="str">
        <f>IFERROR(__xludf.DUMMYFUNCTION("""COMPUTED_VALUE"""),"06568145947")</f>
        <v>06568145947</v>
      </c>
    </row>
    <row r="13">
      <c r="A13" s="8" t="str">
        <f>IFERROR(__xludf.DUMMYFUNCTION("""COMPUTED_VALUE"""),"Milaine Cezero Pimenta de Souza")</f>
        <v>Milaine Cezero Pimenta de Souza</v>
      </c>
      <c r="B13" s="49">
        <f>IFERROR(__xludf.DUMMYFUNCTION("""COMPUTED_VALUE"""),26702.0)</f>
        <v>26702</v>
      </c>
      <c r="C13" s="8">
        <f>IFERROR(__xludf.DUMMYFUNCTION("""COMPUTED_VALUE"""),1.6544944882E10)</f>
        <v>16544944882</v>
      </c>
    </row>
    <row r="14">
      <c r="A14" s="8" t="str">
        <f>IFERROR(__xludf.DUMMYFUNCTION("""COMPUTED_VALUE"""),"Raphael Antonio Holanda Rodrigues")</f>
        <v>Raphael Antonio Holanda Rodrigues</v>
      </c>
      <c r="B14" s="49">
        <f>IFERROR(__xludf.DUMMYFUNCTION("""COMPUTED_VALUE"""),32911.0)</f>
        <v>32911</v>
      </c>
      <c r="C14" s="8" t="str">
        <f>IFERROR(__xludf.DUMMYFUNCTION("""COMPUTED_VALUE"""),"230.629.968-46")</f>
        <v>230.629.968-46</v>
      </c>
    </row>
    <row r="15">
      <c r="A15" s="8" t="str">
        <f>IFERROR(__xludf.DUMMYFUNCTION("""COMPUTED_VALUE"""),"Katarina Holanda Okinokabu")</f>
        <v>Katarina Holanda Okinokabu</v>
      </c>
      <c r="B15" s="49">
        <f>IFERROR(__xludf.DUMMYFUNCTION("""COMPUTED_VALUE"""),45364.0)</f>
        <v>45364</v>
      </c>
      <c r="C15" s="8" t="str">
        <f>IFERROR(__xludf.DUMMYFUNCTION("""COMPUTED_VALUE"""),"025.144.678-61")</f>
        <v>025.144.678-61</v>
      </c>
    </row>
    <row r="16">
      <c r="A16" s="8" t="str">
        <f>IFERROR(__xludf.DUMMYFUNCTION("""COMPUTED_VALUE"""),"Ada de Almeida Medeiros Porcino ")</f>
        <v>Ada de Almeida Medeiros Porcino </v>
      </c>
      <c r="B16" s="49">
        <f>IFERROR(__xludf.DUMMYFUNCTION("""COMPUTED_VALUE"""),29590.0)</f>
        <v>29590</v>
      </c>
      <c r="C16" s="8">
        <f>IFERROR(__xludf.DUMMYFUNCTION("""COMPUTED_VALUE"""),3.0602070899E10)</f>
        <v>30602070899</v>
      </c>
    </row>
    <row r="17">
      <c r="A17" s="8" t="str">
        <f>IFERROR(__xludf.DUMMYFUNCTION("""COMPUTED_VALUE"""),"Gledson Costa Porcino ")</f>
        <v>Gledson Costa Porcino </v>
      </c>
      <c r="B17" s="49">
        <f>IFERROR(__xludf.DUMMYFUNCTION("""COMPUTED_VALUE"""),28764.0)</f>
        <v>28764</v>
      </c>
      <c r="C17" s="8">
        <f>IFERROR(__xludf.DUMMYFUNCTION("""COMPUTED_VALUE"""),2.65232898E10)</f>
        <v>26523289800</v>
      </c>
    </row>
    <row r="18">
      <c r="A18" s="8" t="str">
        <f>IFERROR(__xludf.DUMMYFUNCTION("""COMPUTED_VALUE"""),"Tiago Kenji Komessu Coito ")</f>
        <v>Tiago Kenji Komessu Coito </v>
      </c>
      <c r="B18" s="49">
        <f>IFERROR(__xludf.DUMMYFUNCTION("""COMPUTED_VALUE"""),33031.0)</f>
        <v>33031</v>
      </c>
      <c r="C18" s="8">
        <f>IFERROR(__xludf.DUMMYFUNCTION("""COMPUTED_VALUE"""),3.9605583844E10)</f>
        <v>39605583844</v>
      </c>
    </row>
    <row r="19">
      <c r="A19" s="8" t="str">
        <f>IFERROR(__xludf.DUMMYFUNCTION("""COMPUTED_VALUE"""),"Nathalia Lepore Lopes ")</f>
        <v>Nathalia Lepore Lopes </v>
      </c>
      <c r="B19" s="49">
        <f>IFERROR(__xludf.DUMMYFUNCTION("""COMPUTED_VALUE"""),35956.0)</f>
        <v>35956</v>
      </c>
      <c r="C19" s="8">
        <f>IFERROR(__xludf.DUMMYFUNCTION("""COMPUTED_VALUE"""),4.5374636863E10)</f>
        <v>45374636863</v>
      </c>
    </row>
    <row r="20">
      <c r="A20" s="8" t="str">
        <f>IFERROR(__xludf.DUMMYFUNCTION("""COMPUTED_VALUE"""),"Gustavo Sanches Sanni")</f>
        <v>Gustavo Sanches Sanni</v>
      </c>
      <c r="B20" s="49">
        <f>IFERROR(__xludf.DUMMYFUNCTION("""COMPUTED_VALUE"""),35390.0)</f>
        <v>35390</v>
      </c>
      <c r="C20" s="8">
        <f>IFERROR(__xludf.DUMMYFUNCTION("""COMPUTED_VALUE"""),4.2510078836E10)</f>
        <v>42510078836</v>
      </c>
    </row>
    <row r="21">
      <c r="A21" s="8" t="str">
        <f>IFERROR(__xludf.DUMMYFUNCTION("""COMPUTED_VALUE"""),"André Luiz de Araujo")</f>
        <v>André Luiz de Araujo</v>
      </c>
      <c r="B21" s="49">
        <f>IFERROR(__xludf.DUMMYFUNCTION("""COMPUTED_VALUE"""),30010.0)</f>
        <v>30010</v>
      </c>
      <c r="C21" s="8">
        <f>IFERROR(__xludf.DUMMYFUNCTION("""COMPUTED_VALUE"""),2.2299594841E10)</f>
        <v>22299594841</v>
      </c>
    </row>
    <row r="22">
      <c r="A22" s="8" t="str">
        <f>IFERROR(__xludf.DUMMYFUNCTION("""COMPUTED_VALUE"""),"Jaqueline Stefani Ferreira da Rocha ")</f>
        <v>Jaqueline Stefani Ferreira da Rocha </v>
      </c>
      <c r="B22" s="49">
        <f>IFERROR(__xludf.DUMMYFUNCTION("""COMPUTED_VALUE"""),37208.0)</f>
        <v>37208</v>
      </c>
      <c r="C22" s="8">
        <f>IFERROR(__xludf.DUMMYFUNCTION("""COMPUTED_VALUE"""),5.0628546874E10)</f>
        <v>50628546874</v>
      </c>
    </row>
    <row r="23">
      <c r="A23" s="8" t="str">
        <f>IFERROR(__xludf.DUMMYFUNCTION("""COMPUTED_VALUE"""),"Daniel Pereira Ramos")</f>
        <v>Daniel Pereira Ramos</v>
      </c>
      <c r="B23" s="49">
        <f>IFERROR(__xludf.DUMMYFUNCTION("""COMPUTED_VALUE"""),36190.0)</f>
        <v>36190</v>
      </c>
      <c r="C23" s="8">
        <f>IFERROR(__xludf.DUMMYFUNCTION("""COMPUTED_VALUE"""),4.0544523881E10)</f>
        <v>40544523881</v>
      </c>
    </row>
    <row r="24">
      <c r="A24" s="8" t="str">
        <f>IFERROR(__xludf.DUMMYFUNCTION("""COMPUTED_VALUE"""),"João Pedro da Silva Pereira ")</f>
        <v>João Pedro da Silva Pereira </v>
      </c>
      <c r="B24" s="49">
        <f>IFERROR(__xludf.DUMMYFUNCTION("""COMPUTED_VALUE"""),44454.0)</f>
        <v>44454</v>
      </c>
      <c r="C24" s="8">
        <f>IFERROR(__xludf.DUMMYFUNCTION("""COMPUTED_VALUE"""),5.9672259867E10)</f>
        <v>59672259867</v>
      </c>
    </row>
    <row r="25">
      <c r="A25" s="8" t="str">
        <f>IFERROR(__xludf.DUMMYFUNCTION("""COMPUTED_VALUE"""),"Esberto Silva Ramos")</f>
        <v>Esberto Silva Ramos</v>
      </c>
      <c r="B25" s="49">
        <f>IFERROR(__xludf.DUMMYFUNCTION("""COMPUTED_VALUE"""),22783.0)</f>
        <v>22783</v>
      </c>
      <c r="C25" s="8">
        <f>IFERROR(__xludf.DUMMYFUNCTION("""COMPUTED_VALUE"""),2.26665755E10)</f>
        <v>22666575500</v>
      </c>
    </row>
    <row r="26">
      <c r="A26" s="8" t="str">
        <f>IFERROR(__xludf.DUMMYFUNCTION("""COMPUTED_VALUE"""),"Cristiniana Pereira Ramos ")</f>
        <v>Cristiniana Pereira Ramos </v>
      </c>
      <c r="B26" s="49">
        <f>IFERROR(__xludf.DUMMYFUNCTION("""COMPUTED_VALUE"""),26164.0)</f>
        <v>26164</v>
      </c>
      <c r="C26" s="8" t="str">
        <f>IFERROR(__xludf.DUMMYFUNCTION("""COMPUTED_VALUE"""),"717354885-34 ")</f>
        <v>717354885-34 </v>
      </c>
    </row>
    <row r="27">
      <c r="A27" s="8" t="str">
        <f>IFERROR(__xludf.DUMMYFUNCTION("""COMPUTED_VALUE"""),"Gabriela Alves dos Reis Schunck")</f>
        <v>Gabriela Alves dos Reis Schunck</v>
      </c>
      <c r="B27" s="49">
        <f>IFERROR(__xludf.DUMMYFUNCTION("""COMPUTED_VALUE"""),35893.0)</f>
        <v>35893</v>
      </c>
      <c r="C27" s="8">
        <f>IFERROR(__xludf.DUMMYFUNCTION("""COMPUTED_VALUE"""),4.8060147889E10)</f>
        <v>48060147889</v>
      </c>
    </row>
    <row r="28">
      <c r="A28" s="8" t="str">
        <f>IFERROR(__xludf.DUMMYFUNCTION("""COMPUTED_VALUE"""),"Felipe Nunes Quinonez")</f>
        <v>Felipe Nunes Quinonez</v>
      </c>
      <c r="B28" s="49">
        <f>IFERROR(__xludf.DUMMYFUNCTION("""COMPUTED_VALUE"""),37933.0)</f>
        <v>37933</v>
      </c>
      <c r="C28" s="8">
        <f>IFERROR(__xludf.DUMMYFUNCTION("""COMPUTED_VALUE"""),4.4267735808E10)</f>
        <v>44267735808</v>
      </c>
    </row>
    <row r="29">
      <c r="A29" s="8" t="str">
        <f>IFERROR(__xludf.DUMMYFUNCTION("""COMPUTED_VALUE"""),"Laura Tomáz de Aquino")</f>
        <v>Laura Tomáz de Aquino</v>
      </c>
      <c r="B29" s="49">
        <f>IFERROR(__xludf.DUMMYFUNCTION("""COMPUTED_VALUE"""),36159.0)</f>
        <v>36159</v>
      </c>
      <c r="C29" s="8">
        <f>IFERROR(__xludf.DUMMYFUNCTION("""COMPUTED_VALUE"""),4.6555802839E10)</f>
        <v>46555802839</v>
      </c>
    </row>
    <row r="30">
      <c r="A30" s="8" t="str">
        <f>IFERROR(__xludf.DUMMYFUNCTION("""COMPUTED_VALUE"""),"Tamara Nascimento Soares Cavalcante ")</f>
        <v>Tamara Nascimento Soares Cavalcante </v>
      </c>
      <c r="B30" s="49">
        <f>IFERROR(__xludf.DUMMYFUNCTION("""COMPUTED_VALUE"""),34654.0)</f>
        <v>34654</v>
      </c>
      <c r="C30" s="8">
        <f>IFERROR(__xludf.DUMMYFUNCTION("""COMPUTED_VALUE"""),4.2296125832E10)</f>
        <v>42296125832</v>
      </c>
    </row>
    <row r="31">
      <c r="A31" s="8" t="str">
        <f>IFERROR(__xludf.DUMMYFUNCTION("""COMPUTED_VALUE"""),"Carlos Henrique monte Cavalcante ")</f>
        <v>Carlos Henrique monte Cavalcante </v>
      </c>
      <c r="B31" s="49">
        <f>IFERROR(__xludf.DUMMYFUNCTION("""COMPUTED_VALUE"""),34023.0)</f>
        <v>34023</v>
      </c>
      <c r="C31" s="8" t="str">
        <f>IFERROR(__xludf.DUMMYFUNCTION("""COMPUTED_VALUE"""),"230.394.748-04")</f>
        <v>230.394.748-04</v>
      </c>
    </row>
    <row r="32">
      <c r="A32" s="8" t="str">
        <f>IFERROR(__xludf.DUMMYFUNCTION("""COMPUTED_VALUE"""),"Rebeca Gomes Lemos")</f>
        <v>Rebeca Gomes Lemos</v>
      </c>
      <c r="B32" s="49">
        <f>IFERROR(__xludf.DUMMYFUNCTION("""COMPUTED_VALUE"""),37242.0)</f>
        <v>37242</v>
      </c>
      <c r="C32" s="8">
        <f>IFERROR(__xludf.DUMMYFUNCTION("""COMPUTED_VALUE"""),4.8929657826E10)</f>
        <v>48929657826</v>
      </c>
    </row>
    <row r="33">
      <c r="A33" s="8" t="str">
        <f>IFERROR(__xludf.DUMMYFUNCTION("""COMPUTED_VALUE"""),"Karina rosa da silva ")</f>
        <v>Karina rosa da silva </v>
      </c>
      <c r="B33" s="49">
        <f>IFERROR(__xludf.DUMMYFUNCTION("""COMPUTED_VALUE"""),30460.0)</f>
        <v>30460</v>
      </c>
      <c r="C33" s="8" t="str">
        <f>IFERROR(__xludf.DUMMYFUNCTION("""COMPUTED_VALUE"""),"310.792.988-35 ")</f>
        <v>310.792.988-35 </v>
      </c>
    </row>
    <row r="34">
      <c r="A34" s="8" t="str">
        <f>IFERROR(__xludf.DUMMYFUNCTION("""COMPUTED_VALUE"""),"Suellen de Oliveira")</f>
        <v>Suellen de Oliveira</v>
      </c>
      <c r="B34" s="49">
        <f>IFERROR(__xludf.DUMMYFUNCTION("""COMPUTED_VALUE"""),35011.0)</f>
        <v>35011</v>
      </c>
      <c r="C34" s="8" t="str">
        <f>IFERROR(__xludf.DUMMYFUNCTION("""COMPUTED_VALUE"""),"420.282.348-65")</f>
        <v>420.282.348-65</v>
      </c>
    </row>
    <row r="35">
      <c r="A35" s="8" t="str">
        <f>IFERROR(__xludf.DUMMYFUNCTION("""COMPUTED_VALUE"""),"JOELMA CLÁUDIA SILVEIRA RIBEIRO")</f>
        <v>JOELMA CLÁUDIA SILVEIRA RIBEIRO</v>
      </c>
      <c r="B35" s="49">
        <f>IFERROR(__xludf.DUMMYFUNCTION("""COMPUTED_VALUE"""),27096.0)</f>
        <v>27096</v>
      </c>
      <c r="C35" s="8" t="str">
        <f>IFERROR(__xludf.DUMMYFUNCTION("""COMPUTED_VALUE"""),"900801815-20")</f>
        <v>900801815-20</v>
      </c>
    </row>
    <row r="36">
      <c r="A36" s="8" t="str">
        <f>IFERROR(__xludf.DUMMYFUNCTION("""COMPUTED_VALUE"""),"Thamires Barros da Silva ")</f>
        <v>Thamires Barros da Silva </v>
      </c>
      <c r="B36" s="49">
        <f>IFERROR(__xludf.DUMMYFUNCTION("""COMPUTED_VALUE"""),36781.0)</f>
        <v>36781</v>
      </c>
      <c r="C36" s="8">
        <f>IFERROR(__xludf.DUMMYFUNCTION("""COMPUTED_VALUE"""),4.8620195875E10)</f>
        <v>48620195875</v>
      </c>
    </row>
    <row r="37">
      <c r="A37" s="8" t="str">
        <f>IFERROR(__xludf.DUMMYFUNCTION("""COMPUTED_VALUE"""),"Michelli Alves Santana ")</f>
        <v>Michelli Alves Santana </v>
      </c>
      <c r="B37" s="49">
        <f>IFERROR(__xludf.DUMMYFUNCTION("""COMPUTED_VALUE"""),35036.0)</f>
        <v>35036</v>
      </c>
      <c r="C37" s="8">
        <f>IFERROR(__xludf.DUMMYFUNCTION("""COMPUTED_VALUE"""),4.4186897883E10)</f>
        <v>44186897883</v>
      </c>
    </row>
    <row r="38">
      <c r="A38" s="8" t="str">
        <f>IFERROR(__xludf.DUMMYFUNCTION("""COMPUTED_VALUE"""),"Vitor Henrique Boís Ramos ")</f>
        <v>Vitor Henrique Boís Ramos </v>
      </c>
      <c r="B38" s="49">
        <f>IFERROR(__xludf.DUMMYFUNCTION("""COMPUTED_VALUE"""),35970.0)</f>
        <v>35970</v>
      </c>
      <c r="C38" s="8">
        <f>IFERROR(__xludf.DUMMYFUNCTION("""COMPUTED_VALUE"""),4.8018459835E10)</f>
        <v>48018459835</v>
      </c>
    </row>
    <row r="39">
      <c r="A39" s="8" t="str">
        <f>IFERROR(__xludf.DUMMYFUNCTION("""COMPUTED_VALUE"""),"Juliane Ramos Lima ")</f>
        <v>Juliane Ramos Lima </v>
      </c>
      <c r="B39" s="49">
        <f>IFERROR(__xludf.DUMMYFUNCTION("""COMPUTED_VALUE"""),35067.0)</f>
        <v>35067</v>
      </c>
      <c r="C39" s="8" t="str">
        <f>IFERROR(__xludf.DUMMYFUNCTION("""COMPUTED_VALUE"""),"434.934. 448-96")</f>
        <v>434.934. 448-96</v>
      </c>
    </row>
    <row r="40">
      <c r="A40" s="8" t="str">
        <f>IFERROR(__xludf.DUMMYFUNCTION("""COMPUTED_VALUE"""),"Gabriela Alves dos Reis Schunck")</f>
        <v>Gabriela Alves dos Reis Schunck</v>
      </c>
      <c r="B40" s="49">
        <f>IFERROR(__xludf.DUMMYFUNCTION("""COMPUTED_VALUE"""),35893.0)</f>
        <v>35893</v>
      </c>
      <c r="C40" s="8">
        <f>IFERROR(__xludf.DUMMYFUNCTION("""COMPUTED_VALUE"""),4.8060147889E10)</f>
        <v>48060147889</v>
      </c>
    </row>
    <row r="41">
      <c r="A41" s="8" t="str">
        <f>IFERROR(__xludf.DUMMYFUNCTION("""COMPUTED_VALUE"""),"Carlos Eduardo Schunck dos Reis ")</f>
        <v>Carlos Eduardo Schunck dos Reis </v>
      </c>
      <c r="B41" s="49">
        <f>IFERROR(__xludf.DUMMYFUNCTION("""COMPUTED_VALUE"""),41900.0)</f>
        <v>41900</v>
      </c>
      <c r="C41" s="8">
        <f>IFERROR(__xludf.DUMMYFUNCTION("""COMPUTED_VALUE"""),4.8961840843E10)</f>
        <v>48961840843</v>
      </c>
    </row>
    <row r="42">
      <c r="A42" s="8" t="str">
        <f>IFERROR(__xludf.DUMMYFUNCTION("""COMPUTED_VALUE"""),"César Augusto Schunck ")</f>
        <v>César Augusto Schunck </v>
      </c>
      <c r="B42" s="49">
        <f>IFERROR(__xludf.DUMMYFUNCTION("""COMPUTED_VALUE"""),33435.0)</f>
        <v>33435</v>
      </c>
      <c r="C42" s="8">
        <f>IFERROR(__xludf.DUMMYFUNCTION("""COMPUTED_VALUE"""),3.981722183E10)</f>
        <v>39817221830</v>
      </c>
    </row>
    <row r="43">
      <c r="A43" s="8" t="str">
        <f>IFERROR(__xludf.DUMMYFUNCTION("""COMPUTED_VALUE"""),"Pedro Henrique dos Reis Schunck ")</f>
        <v>Pedro Henrique dos Reis Schunck </v>
      </c>
      <c r="B43" s="49">
        <f>IFERROR(__xludf.DUMMYFUNCTION("""COMPUTED_VALUE"""),44092.0)</f>
        <v>44092</v>
      </c>
      <c r="C43" s="8">
        <f>IFERROR(__xludf.DUMMYFUNCTION("""COMPUTED_VALUE"""),5.8817801836E10)</f>
        <v>58817801836</v>
      </c>
    </row>
    <row r="44">
      <c r="A44" s="8" t="str">
        <f>IFERROR(__xludf.DUMMYFUNCTION("""COMPUTED_VALUE"""),"Alice Kraieb Ribeiro Schunck ")</f>
        <v>Alice Kraieb Ribeiro Schunck </v>
      </c>
      <c r="B44" s="49">
        <f>IFERROR(__xludf.DUMMYFUNCTION("""COMPUTED_VALUE"""),40731.0)</f>
        <v>40731</v>
      </c>
      <c r="C44" s="8">
        <f>IFERROR(__xludf.DUMMYFUNCTION("""COMPUTED_VALUE"""),5.6630404807E10)</f>
        <v>56630404807</v>
      </c>
    </row>
    <row r="45">
      <c r="A45" s="8" t="str">
        <f>IFERROR(__xludf.DUMMYFUNCTION("""COMPUTED_VALUE"""),"Amanda Teixeira")</f>
        <v>Amanda Teixeira</v>
      </c>
      <c r="B45" s="49">
        <f>IFERROR(__xludf.DUMMYFUNCTION("""COMPUTED_VALUE"""),38035.0)</f>
        <v>38035</v>
      </c>
      <c r="C45" s="8">
        <f>IFERROR(__xludf.DUMMYFUNCTION("""COMPUTED_VALUE"""),4.1700389831E10)</f>
        <v>41700389831</v>
      </c>
    </row>
    <row r="46">
      <c r="A46" s="8" t="str">
        <f>IFERROR(__xludf.DUMMYFUNCTION("""COMPUTED_VALUE"""),"Mateus Domingues Mendonça ")</f>
        <v>Mateus Domingues Mendonça </v>
      </c>
      <c r="B46" s="49">
        <f>IFERROR(__xludf.DUMMYFUNCTION("""COMPUTED_VALUE"""),35675.0)</f>
        <v>35675</v>
      </c>
      <c r="C46" s="8">
        <f>IFERROR(__xludf.DUMMYFUNCTION("""COMPUTED_VALUE"""),4.7685667827E10)</f>
        <v>47685667827</v>
      </c>
    </row>
    <row r="47">
      <c r="A47" s="8" t="str">
        <f>IFERROR(__xludf.DUMMYFUNCTION("""COMPUTED_VALUE"""),"Ronaldo reis Mendonça ")</f>
        <v>Ronaldo reis Mendonça </v>
      </c>
      <c r="B47" s="49">
        <f>IFERROR(__xludf.DUMMYFUNCTION("""COMPUTED_VALUE"""),24824.0)</f>
        <v>24824</v>
      </c>
      <c r="C47" s="8">
        <f>IFERROR(__xludf.DUMMYFUNCTION("""COMPUTED_VALUE"""),1.0365189812E10)</f>
        <v>10365189812</v>
      </c>
    </row>
    <row r="48">
      <c r="A48" s="8" t="str">
        <f>IFERROR(__xludf.DUMMYFUNCTION("""COMPUTED_VALUE"""),"Sonia Domingues Mendonça ")</f>
        <v>Sonia Domingues Mendonça </v>
      </c>
      <c r="B48" s="49">
        <f>IFERROR(__xludf.DUMMYFUNCTION("""COMPUTED_VALUE"""),25096.0)</f>
        <v>25096</v>
      </c>
      <c r="C48" s="8">
        <f>IFERROR(__xludf.DUMMYFUNCTION("""COMPUTED_VALUE"""),1.330976681E10)</f>
        <v>13309766810</v>
      </c>
    </row>
    <row r="49">
      <c r="A49" s="8" t="str">
        <f>IFERROR(__xludf.DUMMYFUNCTION("""COMPUTED_VALUE"""),"Hullyanna Silva de Paula")</f>
        <v>Hullyanna Silva de Paula</v>
      </c>
      <c r="B49" s="49">
        <f>IFERROR(__xludf.DUMMYFUNCTION("""COMPUTED_VALUE"""),35905.0)</f>
        <v>35905</v>
      </c>
      <c r="C49" s="8">
        <f>IFERROR(__xludf.DUMMYFUNCTION("""COMPUTED_VALUE"""),4.5403296859E10)</f>
        <v>45403296859</v>
      </c>
    </row>
    <row r="50">
      <c r="A50" s="8" t="str">
        <f>IFERROR(__xludf.DUMMYFUNCTION("""COMPUTED_VALUE"""),"Patricia Silva Pereira Marinho ")</f>
        <v>Patricia Silva Pereira Marinho </v>
      </c>
      <c r="B50" s="49">
        <f>IFERROR(__xludf.DUMMYFUNCTION("""COMPUTED_VALUE"""),35419.0)</f>
        <v>35419</v>
      </c>
      <c r="C50" s="8" t="str">
        <f>IFERROR(__xludf.DUMMYFUNCTION("""COMPUTED_VALUE"""),"444.282.958-63")</f>
        <v>444.282.958-63</v>
      </c>
    </row>
    <row r="51">
      <c r="A51" s="8" t="str">
        <f>IFERROR(__xludf.DUMMYFUNCTION("""COMPUTED_VALUE"""),"Davi Silva Marinho")</f>
        <v>Davi Silva Marinho</v>
      </c>
      <c r="B51" s="49">
        <f>IFERROR(__xludf.DUMMYFUNCTION("""COMPUTED_VALUE"""),45348.0)</f>
        <v>45348</v>
      </c>
      <c r="C51" s="8" t="str">
        <f>IFERROR(__xludf.DUMMYFUNCTION("""COMPUTED_VALUE"""),"02401980857")</f>
        <v>02401980857</v>
      </c>
    </row>
    <row r="52">
      <c r="A52" s="8" t="str">
        <f>IFERROR(__xludf.DUMMYFUNCTION("""COMPUTED_VALUE"""),"Guilherme Silva Pereira Marinho ")</f>
        <v>Guilherme Silva Pereira Marinho </v>
      </c>
      <c r="B52" s="49">
        <f>IFERROR(__xludf.DUMMYFUNCTION("""COMPUTED_VALUE"""),35771.0)</f>
        <v>35771</v>
      </c>
      <c r="C52" s="8" t="str">
        <f>IFERROR(__xludf.DUMMYFUNCTION("""COMPUTED_VALUE"""),"480.703.228-37")</f>
        <v>480.703.228-37</v>
      </c>
    </row>
    <row r="53">
      <c r="A53" s="8" t="str">
        <f>IFERROR(__xludf.DUMMYFUNCTION("""COMPUTED_VALUE"""),"Hugo Luiz Guilherme ")</f>
        <v>Hugo Luiz Guilherme </v>
      </c>
      <c r="B53" s="49">
        <f>IFERROR(__xludf.DUMMYFUNCTION("""COMPUTED_VALUE"""),35720.0)</f>
        <v>35720</v>
      </c>
      <c r="C53" s="8">
        <f>IFERROR(__xludf.DUMMYFUNCTION("""COMPUTED_VALUE"""),4.5057408895E10)</f>
        <v>45057408895</v>
      </c>
    </row>
    <row r="54">
      <c r="A54" s="8" t="str">
        <f>IFERROR(__xludf.DUMMYFUNCTION("""COMPUTED_VALUE"""),"Ana Beatriz Barbosa Cunha")</f>
        <v>Ana Beatriz Barbosa Cunha</v>
      </c>
      <c r="B54" s="49">
        <f>IFERROR(__xludf.DUMMYFUNCTION("""COMPUTED_VALUE"""),35479.0)</f>
        <v>35479</v>
      </c>
      <c r="C54" s="8" t="str">
        <f>IFERROR(__xludf.DUMMYFUNCTION("""COMPUTED_VALUE"""),"705.091.011-27")</f>
        <v>705.091.011-27</v>
      </c>
    </row>
    <row r="55">
      <c r="A55" s="8" t="str">
        <f>IFERROR(__xludf.DUMMYFUNCTION("""COMPUTED_VALUE"""),"Jeferson goncalves de menezes")</f>
        <v>Jeferson goncalves de menezes</v>
      </c>
      <c r="B55" s="49">
        <f>IFERROR(__xludf.DUMMYFUNCTION("""COMPUTED_VALUE"""),35969.0)</f>
        <v>35969</v>
      </c>
      <c r="C55" s="8">
        <f>IFERROR(__xludf.DUMMYFUNCTION("""COMPUTED_VALUE"""),4.7485162837E10)</f>
        <v>47485162837</v>
      </c>
    </row>
    <row r="56">
      <c r="A56" s="8" t="str">
        <f>IFERROR(__xludf.DUMMYFUNCTION("""COMPUTED_VALUE"""),"Carla Godinho Cardoso ")</f>
        <v>Carla Godinho Cardoso </v>
      </c>
      <c r="B56" s="49">
        <f>IFERROR(__xludf.DUMMYFUNCTION("""COMPUTED_VALUE"""),30984.0)</f>
        <v>30984</v>
      </c>
      <c r="C56" s="8">
        <f>IFERROR(__xludf.DUMMYFUNCTION("""COMPUTED_VALUE"""),3.150885386E9)</f>
        <v>3150885386</v>
      </c>
    </row>
    <row r="57">
      <c r="A57" s="8" t="str">
        <f>IFERROR(__xludf.DUMMYFUNCTION("""COMPUTED_VALUE"""),"Victor Alexandre Farinassi")</f>
        <v>Victor Alexandre Farinassi</v>
      </c>
      <c r="B57" s="49">
        <f>IFERROR(__xludf.DUMMYFUNCTION("""COMPUTED_VALUE"""),31318.0)</f>
        <v>31318</v>
      </c>
      <c r="C57" s="8">
        <f>IFERROR(__xludf.DUMMYFUNCTION("""COMPUTED_VALUE"""),3.2760726886E10)</f>
        <v>32760726886</v>
      </c>
    </row>
    <row r="58">
      <c r="A58" s="8" t="str">
        <f>IFERROR(__xludf.DUMMYFUNCTION("""COMPUTED_VALUE"""),"Aline Inacio Pimenta Correia")</f>
        <v>Aline Inacio Pimenta Correia</v>
      </c>
      <c r="B58" s="49">
        <f>IFERROR(__xludf.DUMMYFUNCTION("""COMPUTED_VALUE"""),36186.0)</f>
        <v>36186</v>
      </c>
      <c r="C58" s="8">
        <f>IFERROR(__xludf.DUMMYFUNCTION("""COMPUTED_VALUE"""),4.7539029862E10)</f>
        <v>47539029862</v>
      </c>
    </row>
    <row r="59">
      <c r="A59" s="8" t="str">
        <f>IFERROR(__xludf.DUMMYFUNCTION("""COMPUTED_VALUE"""),"Vinicios Valério Lourenço ")</f>
        <v>Vinicios Valério Lourenço </v>
      </c>
      <c r="B59" s="49">
        <f>IFERROR(__xludf.DUMMYFUNCTION("""COMPUTED_VALUE"""),31289.0)</f>
        <v>31289</v>
      </c>
      <c r="C59" s="8">
        <f>IFERROR(__xludf.DUMMYFUNCTION("""COMPUTED_VALUE"""),3.613522381E10)</f>
        <v>36135223810</v>
      </c>
    </row>
    <row r="60">
      <c r="A60" s="8" t="str">
        <f>IFERROR(__xludf.DUMMYFUNCTION("""COMPUTED_VALUE"""),"Thallita Ferreira da Silva ")</f>
        <v>Thallita Ferreira da Silva </v>
      </c>
      <c r="B60" s="49">
        <f>IFERROR(__xludf.DUMMYFUNCTION("""COMPUTED_VALUE"""),35512.0)</f>
        <v>35512</v>
      </c>
      <c r="C60" s="8">
        <f>IFERROR(__xludf.DUMMYFUNCTION("""COMPUTED_VALUE"""),4.7043988896E10)</f>
        <v>47043988896</v>
      </c>
    </row>
    <row r="61">
      <c r="A61" s="8" t="str">
        <f>IFERROR(__xludf.DUMMYFUNCTION("""COMPUTED_VALUE"""),"Ismael Barbosa da Silva")</f>
        <v>Ismael Barbosa da Silva</v>
      </c>
      <c r="B61" s="49">
        <f>IFERROR(__xludf.DUMMYFUNCTION("""COMPUTED_VALUE"""),31066.0)</f>
        <v>31066</v>
      </c>
      <c r="C61" s="8" t="str">
        <f>IFERROR(__xludf.DUMMYFUNCTION("""COMPUTED_VALUE"""),"06460078408")</f>
        <v>06460078408</v>
      </c>
    </row>
    <row r="62">
      <c r="A62" s="8" t="str">
        <f>IFERROR(__xludf.DUMMYFUNCTION("""COMPUTED_VALUE"""),"Raquel Morais Rangel Miyayaciki")</f>
        <v>Raquel Morais Rangel Miyayaciki</v>
      </c>
      <c r="B62" s="49">
        <f>IFERROR(__xludf.DUMMYFUNCTION("""COMPUTED_VALUE"""),35105.0)</f>
        <v>35105</v>
      </c>
      <c r="C62" s="8" t="str">
        <f>IFERROR(__xludf.DUMMYFUNCTION("""COMPUTED_VALUE"""),"444.021.548-39 ")</f>
        <v>444.021.548-39 </v>
      </c>
    </row>
    <row r="63">
      <c r="A63" s="8" t="str">
        <f>IFERROR(__xludf.DUMMYFUNCTION("""COMPUTED_VALUE"""),"Mauricio Takashi Miyayaciki ")</f>
        <v>Mauricio Takashi Miyayaciki </v>
      </c>
      <c r="B63" s="49">
        <f>IFERROR(__xludf.DUMMYFUNCTION("""COMPUTED_VALUE"""),35348.0)</f>
        <v>35348</v>
      </c>
      <c r="C63" s="8" t="str">
        <f>IFERROR(__xludf.DUMMYFUNCTION("""COMPUTED_VALUE"""),"457.916.688-48 ")</f>
        <v>457.916.688-48 </v>
      </c>
    </row>
    <row r="64">
      <c r="A64" s="8" t="str">
        <f>IFERROR(__xludf.DUMMYFUNCTION("""COMPUTED_VALUE"""),"Guilherme Cabral de Oliveira Passos ")</f>
        <v>Guilherme Cabral de Oliveira Passos </v>
      </c>
      <c r="B64" s="49">
        <f>IFERROR(__xludf.DUMMYFUNCTION("""COMPUTED_VALUE"""),35278.0)</f>
        <v>35278</v>
      </c>
      <c r="C64" s="8">
        <f>IFERROR(__xludf.DUMMYFUNCTION("""COMPUTED_VALUE"""),4.1279542802E10)</f>
        <v>41279542802</v>
      </c>
    </row>
    <row r="65">
      <c r="A65" s="8" t="str">
        <f>IFERROR(__xludf.DUMMYFUNCTION("""COMPUTED_VALUE"""),"Tatiane da Silva Cabral Passos ")</f>
        <v>Tatiane da Silva Cabral Passos </v>
      </c>
      <c r="B65" s="49">
        <f>IFERROR(__xludf.DUMMYFUNCTION("""COMPUTED_VALUE"""),35371.0)</f>
        <v>35371</v>
      </c>
      <c r="C65" s="8">
        <f>IFERROR(__xludf.DUMMYFUNCTION("""COMPUTED_VALUE"""),4.3421905835E10)</f>
        <v>43421905835</v>
      </c>
    </row>
    <row r="66">
      <c r="A66" s="8" t="str">
        <f>IFERROR(__xludf.DUMMYFUNCTION("""COMPUTED_VALUE"""),"Cecília Cabral Passos ")</f>
        <v>Cecília Cabral Passos </v>
      </c>
      <c r="B66" s="49">
        <f>IFERROR(__xludf.DUMMYFUNCTION("""COMPUTED_VALUE"""),45594.0)</f>
        <v>45594</v>
      </c>
      <c r="C66" s="8" t="str">
        <f>IFERROR(__xludf.DUMMYFUNCTION("""COMPUTED_VALUE"""),"06147309889")</f>
        <v>06147309889</v>
      </c>
    </row>
    <row r="67">
      <c r="A67" s="8" t="str">
        <f>IFERROR(__xludf.DUMMYFUNCTION("""COMPUTED_VALUE"""),"Rosangela Holanda Rodrigues")</f>
        <v>Rosangela Holanda Rodrigues</v>
      </c>
      <c r="B67" s="49">
        <f>IFERROR(__xludf.DUMMYFUNCTION("""COMPUTED_VALUE"""),21930.0)</f>
        <v>21930</v>
      </c>
      <c r="C67" s="8" t="str">
        <f>IFERROR(__xludf.DUMMYFUNCTION("""COMPUTED_VALUE"""),"06913875835")</f>
        <v>06913875835</v>
      </c>
    </row>
    <row r="68">
      <c r="A68" s="8" t="str">
        <f>IFERROR(__xludf.DUMMYFUNCTION("""COMPUTED_VALUE"""),"AMAILSON MATEUS DOS SANTOS DE JESUS")</f>
        <v>AMAILSON MATEUS DOS SANTOS DE JESUS</v>
      </c>
      <c r="B68" s="49">
        <f>IFERROR(__xludf.DUMMYFUNCTION("""COMPUTED_VALUE"""),36191.0)</f>
        <v>36191</v>
      </c>
      <c r="C68" s="8" t="str">
        <f>IFERROR(__xludf.DUMMYFUNCTION("""COMPUTED_VALUE"""),"119.417.089-78")</f>
        <v>119.417.089-78</v>
      </c>
    </row>
    <row r="69">
      <c r="A69" s="8" t="str">
        <f>IFERROR(__xludf.DUMMYFUNCTION("""COMPUTED_VALUE"""),"Douglas De Souza Guerreiro")</f>
        <v>Douglas De Souza Guerreiro</v>
      </c>
      <c r="B69" s="49">
        <f>IFERROR(__xludf.DUMMYFUNCTION("""COMPUTED_VALUE"""),31992.0)</f>
        <v>31992</v>
      </c>
      <c r="C69" s="8" t="str">
        <f>IFERROR(__xludf.DUMMYFUNCTION("""COMPUTED_VALUE"""),"057.372.039-80")</f>
        <v>057.372.039-80</v>
      </c>
    </row>
    <row r="70">
      <c r="A70" s="8" t="str">
        <f>IFERROR(__xludf.DUMMYFUNCTION("""COMPUTED_VALUE"""),"Daniel Sikora ")</f>
        <v>Daniel Sikora </v>
      </c>
      <c r="B70" s="49">
        <f>IFERROR(__xludf.DUMMYFUNCTION("""COMPUTED_VALUE"""),28963.0)</f>
        <v>28963</v>
      </c>
      <c r="C70" s="8" t="str">
        <f>IFERROR(__xludf.DUMMYFUNCTION("""COMPUTED_VALUE"""),"03586628935")</f>
        <v>03586628935</v>
      </c>
    </row>
    <row r="71">
      <c r="A71" s="8" t="str">
        <f>IFERROR(__xludf.DUMMYFUNCTION("""COMPUTED_VALUE"""),"Adriano Pereira Xavier")</f>
        <v>Adriano Pereira Xavier</v>
      </c>
      <c r="B71" s="49">
        <f>IFERROR(__xludf.DUMMYFUNCTION("""COMPUTED_VALUE"""),30505.0)</f>
        <v>30505</v>
      </c>
      <c r="C71" s="8" t="str">
        <f>IFERROR(__xludf.DUMMYFUNCTION("""COMPUTED_VALUE"""),"04520613930")</f>
        <v>04520613930</v>
      </c>
    </row>
    <row r="72">
      <c r="A72" s="8" t="str">
        <f>IFERROR(__xludf.DUMMYFUNCTION("""COMPUTED_VALUE"""),"Denise de Fatima dos Santos ")</f>
        <v>Denise de Fatima dos Santos </v>
      </c>
      <c r="B72" s="49">
        <f>IFERROR(__xludf.DUMMYFUNCTION("""COMPUTED_VALUE"""),28507.0)</f>
        <v>28507</v>
      </c>
      <c r="C72" s="8" t="str">
        <f>IFERROR(__xludf.DUMMYFUNCTION("""COMPUTED_VALUE"""),"02498362975")</f>
        <v>02498362975</v>
      </c>
    </row>
    <row r="73">
      <c r="A73" s="8" t="str">
        <f>IFERROR(__xludf.DUMMYFUNCTION("""COMPUTED_VALUE"""),"Elisangela de amorim margarida")</f>
        <v>Elisangela de amorim margarida</v>
      </c>
      <c r="B73" s="49">
        <f>IFERROR(__xludf.DUMMYFUNCTION("""COMPUTED_VALUE"""),26744.0)</f>
        <v>26744</v>
      </c>
      <c r="C73" s="8" t="str">
        <f>IFERROR(__xludf.DUMMYFUNCTION("""COMPUTED_VALUE"""),"829.218.819-34 ")</f>
        <v>829.218.819-34 </v>
      </c>
    </row>
    <row r="74">
      <c r="A74" s="8" t="str">
        <f>IFERROR(__xludf.DUMMYFUNCTION("""COMPUTED_VALUE"""),"Lucas Andrade Oliveira")</f>
        <v>Lucas Andrade Oliveira</v>
      </c>
      <c r="B74" s="49">
        <f>IFERROR(__xludf.DUMMYFUNCTION("""COMPUTED_VALUE"""),39824.0)</f>
        <v>39824</v>
      </c>
      <c r="C74" s="8">
        <f>IFERROR(__xludf.DUMMYFUNCTION("""COMPUTED_VALUE"""),4.5312884839E10)</f>
        <v>45312884839</v>
      </c>
    </row>
    <row r="75">
      <c r="A75" s="8" t="str">
        <f>IFERROR(__xludf.DUMMYFUNCTION("""COMPUTED_VALUE"""),"Heroic Gustavo Borges Monteiro ")</f>
        <v>Heroic Gustavo Borges Monteiro </v>
      </c>
      <c r="B75" s="49">
        <f>IFERROR(__xludf.DUMMYFUNCTION("""COMPUTED_VALUE"""),34320.0)</f>
        <v>34320</v>
      </c>
      <c r="C75" s="8" t="str">
        <f>IFERROR(__xludf.DUMMYFUNCTION("""COMPUTED_VALUE"""),"017.093.552-39")</f>
        <v>017.093.552-39</v>
      </c>
    </row>
    <row r="76">
      <c r="A76" s="8" t="str">
        <f>IFERROR(__xludf.DUMMYFUNCTION("""COMPUTED_VALUE"""),"Daniela Pomin Selzelin Schuler")</f>
        <v>Daniela Pomin Selzelin Schuler</v>
      </c>
      <c r="B76" s="49">
        <f>IFERROR(__xludf.DUMMYFUNCTION("""COMPUTED_VALUE"""),27246.0)</f>
        <v>27246</v>
      </c>
      <c r="C76" s="8">
        <f>IFERROR(__xludf.DUMMYFUNCTION("""COMPUTED_VALUE"""),6.111914812E10)</f>
        <v>61119148120</v>
      </c>
    </row>
    <row r="77">
      <c r="A77" s="8" t="str">
        <f>IFERROR(__xludf.DUMMYFUNCTION("""COMPUTED_VALUE"""),"Leonardo Munhoz Schuler")</f>
        <v>Leonardo Munhoz Schuler</v>
      </c>
      <c r="B77" s="49">
        <f>IFERROR(__xludf.DUMMYFUNCTION("""COMPUTED_VALUE"""),29702.0)</f>
        <v>29702</v>
      </c>
      <c r="C77" s="8">
        <f>IFERROR(__xludf.DUMMYFUNCTION("""COMPUTED_VALUE"""),2.9564339898E10)</f>
        <v>29564339898</v>
      </c>
    </row>
    <row r="78">
      <c r="A78" s="8" t="str">
        <f>IFERROR(__xludf.DUMMYFUNCTION("""COMPUTED_VALUE"""),"Elisangela Souza Thomas ")</f>
        <v>Elisangela Souza Thomas </v>
      </c>
      <c r="B78" s="49">
        <f>IFERROR(__xludf.DUMMYFUNCTION("""COMPUTED_VALUE"""),28941.0)</f>
        <v>28941</v>
      </c>
      <c r="C78" s="8" t="str">
        <f>IFERROR(__xludf.DUMMYFUNCTION("""COMPUTED_VALUE"""),"701.774.211-77")</f>
        <v>701.774.211-77</v>
      </c>
    </row>
    <row r="79">
      <c r="A79" s="8" t="str">
        <f>IFERROR(__xludf.DUMMYFUNCTION("""COMPUTED_VALUE"""),"Kenneth William thomas")</f>
        <v>Kenneth William thomas</v>
      </c>
      <c r="B79" s="49">
        <f>IFERROR(__xludf.DUMMYFUNCTION("""COMPUTED_VALUE"""),40961.0)</f>
        <v>40961</v>
      </c>
      <c r="C79" s="8" t="str">
        <f>IFERROR(__xludf.DUMMYFUNCTION("""COMPUTED_VALUE"""),"Nao")</f>
        <v>Nao</v>
      </c>
    </row>
    <row r="80">
      <c r="A80" s="8" t="str">
        <f>IFERROR(__xludf.DUMMYFUNCTION("""COMPUTED_VALUE"""),"Vera Lúcia Almeida souza")</f>
        <v>Vera Lúcia Almeida souza</v>
      </c>
      <c r="B80" s="49">
        <f>IFERROR(__xludf.DUMMYFUNCTION("""COMPUTED_VALUE"""),17385.0)</f>
        <v>17385</v>
      </c>
      <c r="C80" s="8" t="str">
        <f>IFERROR(__xludf.DUMMYFUNCTION("""COMPUTED_VALUE"""),"Nao")</f>
        <v>Nao</v>
      </c>
    </row>
    <row r="81">
      <c r="A81" s="8" t="str">
        <f>IFERROR(__xludf.DUMMYFUNCTION("""COMPUTED_VALUE"""),"Renata Aparecida de Oliveira Domingues Miranda ")</f>
        <v>Renata Aparecida de Oliveira Domingues Miranda </v>
      </c>
      <c r="B81" s="49">
        <f>IFERROR(__xludf.DUMMYFUNCTION("""COMPUTED_VALUE"""),31669.0)</f>
        <v>31669</v>
      </c>
      <c r="C81" s="8" t="str">
        <f>IFERROR(__xludf.DUMMYFUNCTION("""COMPUTED_VALUE"""),"348.932.358-00")</f>
        <v>348.932.358-00</v>
      </c>
    </row>
    <row r="82">
      <c r="A82" s="8" t="str">
        <f>IFERROR(__xludf.DUMMYFUNCTION("""COMPUTED_VALUE"""),"Nara Jessica Nascimento Lacerda ")</f>
        <v>Nara Jessica Nascimento Lacerda </v>
      </c>
      <c r="B82" s="49">
        <f>IFERROR(__xludf.DUMMYFUNCTION("""COMPUTED_VALUE"""),32640.0)</f>
        <v>32640</v>
      </c>
      <c r="C82" s="8" t="str">
        <f>IFERROR(__xludf.DUMMYFUNCTION("""COMPUTED_VALUE"""),"03721439384")</f>
        <v>03721439384</v>
      </c>
    </row>
    <row r="83">
      <c r="A83" s="8" t="str">
        <f>IFERROR(__xludf.DUMMYFUNCTION("""COMPUTED_VALUE"""),"Olinda Lima Soares")</f>
        <v>Olinda Lima Soares</v>
      </c>
      <c r="B83" s="49">
        <f>IFERROR(__xludf.DUMMYFUNCTION("""COMPUTED_VALUE"""),28955.0)</f>
        <v>28955</v>
      </c>
      <c r="C83" s="8">
        <f>IFERROR(__xludf.DUMMYFUNCTION("""COMPUTED_VALUE"""),9.7828661568E10)</f>
        <v>97828661568</v>
      </c>
    </row>
    <row r="84">
      <c r="A84" s="8" t="str">
        <f>IFERROR(__xludf.DUMMYFUNCTION("""COMPUTED_VALUE"""),"Maria Luiza Gonçalves Domingos ")</f>
        <v>Maria Luiza Gonçalves Domingos </v>
      </c>
      <c r="B84" s="49">
        <f>IFERROR(__xludf.DUMMYFUNCTION("""COMPUTED_VALUE"""),35170.0)</f>
        <v>35170</v>
      </c>
      <c r="C84" s="8" t="str">
        <f>IFERROR(__xludf.DUMMYFUNCTION("""COMPUTED_VALUE"""),"03199406165")</f>
        <v>03199406165</v>
      </c>
    </row>
    <row r="85">
      <c r="A85" s="8" t="str">
        <f>IFERROR(__xludf.DUMMYFUNCTION("""COMPUTED_VALUE"""),"Rafael Cristian de Mesquita Sato")</f>
        <v>Rafael Cristian de Mesquita Sato</v>
      </c>
      <c r="B85" s="49">
        <f>IFERROR(__xludf.DUMMYFUNCTION("""COMPUTED_VALUE"""),34718.0)</f>
        <v>34718</v>
      </c>
      <c r="C85" s="8">
        <f>IFERROR(__xludf.DUMMYFUNCTION("""COMPUTED_VALUE"""),4.1163819859E10)</f>
        <v>41163819859</v>
      </c>
    </row>
    <row r="86">
      <c r="A86" s="8" t="str">
        <f>IFERROR(__xludf.DUMMYFUNCTION("""COMPUTED_VALUE"""),"Debora Garcia Galacine")</f>
        <v>Debora Garcia Galacine</v>
      </c>
      <c r="B86" s="49">
        <f>IFERROR(__xludf.DUMMYFUNCTION("""COMPUTED_VALUE"""),36562.0)</f>
        <v>36562</v>
      </c>
      <c r="C86" s="8" t="str">
        <f>IFERROR(__xludf.DUMMYFUNCTION("""COMPUTED_VALUE"""),"07360974305")</f>
        <v>07360974305</v>
      </c>
    </row>
    <row r="87">
      <c r="A87" s="8" t="str">
        <f>IFERROR(__xludf.DUMMYFUNCTION("""COMPUTED_VALUE"""),"Francisca Rejane Gomes de Souza ")</f>
        <v>Francisca Rejane Gomes de Souza </v>
      </c>
      <c r="B87" s="49">
        <f>IFERROR(__xludf.DUMMYFUNCTION("""COMPUTED_VALUE"""),31403.0)</f>
        <v>31403</v>
      </c>
      <c r="C87" s="8">
        <f>IFERROR(__xludf.DUMMYFUNCTION("""COMPUTED_VALUE"""),3.7527969873E10)</f>
        <v>37527969873</v>
      </c>
    </row>
    <row r="88">
      <c r="A88" s="8" t="str">
        <f>IFERROR(__xludf.DUMMYFUNCTION("""COMPUTED_VALUE"""),"Mirelly Souza de Goes ")</f>
        <v>Mirelly Souza de Goes </v>
      </c>
      <c r="B88" s="49">
        <f>IFERROR(__xludf.DUMMYFUNCTION("""COMPUTED_VALUE"""),43825.0)</f>
        <v>43825</v>
      </c>
      <c r="C88" s="8">
        <f>IFERROR(__xludf.DUMMYFUNCTION("""COMPUTED_VALUE"""),5.8059689835E10)</f>
        <v>58059689835</v>
      </c>
    </row>
    <row r="89">
      <c r="A89" s="8" t="str">
        <f>IFERROR(__xludf.DUMMYFUNCTION("""COMPUTED_VALUE"""),"Gabriela Alves dos Reis Schunck")</f>
        <v>Gabriela Alves dos Reis Schunck</v>
      </c>
      <c r="B89" s="49">
        <f>IFERROR(__xludf.DUMMYFUNCTION("""COMPUTED_VALUE"""),35893.0)</f>
        <v>35893</v>
      </c>
      <c r="C89" s="8">
        <f>IFERROR(__xludf.DUMMYFUNCTION("""COMPUTED_VALUE"""),4.8060147889E10)</f>
        <v>48060147889</v>
      </c>
    </row>
    <row r="90">
      <c r="A90" s="8" t="str">
        <f>IFERROR(__xludf.DUMMYFUNCTION("""COMPUTED_VALUE"""),"César Augusto Schunck ")</f>
        <v>César Augusto Schunck </v>
      </c>
      <c r="B90" s="49">
        <f>IFERROR(__xludf.DUMMYFUNCTION("""COMPUTED_VALUE"""),33435.0)</f>
        <v>33435</v>
      </c>
      <c r="C90" s="8">
        <f>IFERROR(__xludf.DUMMYFUNCTION("""COMPUTED_VALUE"""),3.981722183E10)</f>
        <v>39817221830</v>
      </c>
    </row>
    <row r="91">
      <c r="A91" s="8" t="str">
        <f>IFERROR(__xludf.DUMMYFUNCTION("""COMPUTED_VALUE"""),"Carlos Eduardo Schunck dos Reis ")</f>
        <v>Carlos Eduardo Schunck dos Reis </v>
      </c>
      <c r="B91" s="49">
        <f>IFERROR(__xludf.DUMMYFUNCTION("""COMPUTED_VALUE"""),41900.0)</f>
        <v>41900</v>
      </c>
      <c r="C91" s="8">
        <f>IFERROR(__xludf.DUMMYFUNCTION("""COMPUTED_VALUE"""),4.8961840843E10)</f>
        <v>48961840843</v>
      </c>
    </row>
    <row r="92">
      <c r="A92" s="8" t="str">
        <f>IFERROR(__xludf.DUMMYFUNCTION("""COMPUTED_VALUE"""),"Pedro Henrique dos Reis Schunck ")</f>
        <v>Pedro Henrique dos Reis Schunck </v>
      </c>
      <c r="B92" s="49">
        <f>IFERROR(__xludf.DUMMYFUNCTION("""COMPUTED_VALUE"""),44092.0)</f>
        <v>44092</v>
      </c>
      <c r="C92" s="8">
        <f>IFERROR(__xludf.DUMMYFUNCTION("""COMPUTED_VALUE"""),5.8817801836E10)</f>
        <v>58817801836</v>
      </c>
    </row>
    <row r="93">
      <c r="A93" s="8" t="str">
        <f>IFERROR(__xludf.DUMMYFUNCTION("""COMPUTED_VALUE"""),"Alice Kraieb Ribeiro Schunck ")</f>
        <v>Alice Kraieb Ribeiro Schunck </v>
      </c>
      <c r="B93" s="49">
        <f>IFERROR(__xludf.DUMMYFUNCTION("""COMPUTED_VALUE"""),40731.0)</f>
        <v>40731</v>
      </c>
      <c r="C93" s="8">
        <f>IFERROR(__xludf.DUMMYFUNCTION("""COMPUTED_VALUE"""),5.6630404807E10)</f>
        <v>56630404807</v>
      </c>
    </row>
    <row r="94">
      <c r="A94" s="8" t="str">
        <f>IFERROR(__xludf.DUMMYFUNCTION("""COMPUTED_VALUE"""),"Vinicius Costa Cabral ")</f>
        <v>Vinicius Costa Cabral </v>
      </c>
      <c r="B94" s="49">
        <f>IFERROR(__xludf.DUMMYFUNCTION("""COMPUTED_VALUE"""),37300.0)</f>
        <v>37300</v>
      </c>
      <c r="C94" s="8">
        <f>IFERROR(__xludf.DUMMYFUNCTION("""COMPUTED_VALUE"""),4.76304298E10)</f>
        <v>47630429800</v>
      </c>
    </row>
    <row r="95">
      <c r="A95" s="8" t="str">
        <f>IFERROR(__xludf.DUMMYFUNCTION("""COMPUTED_VALUE"""),"Lucas Valentim Santos Vasconcelos ")</f>
        <v>Lucas Valentim Santos Vasconcelos </v>
      </c>
      <c r="B95" s="49">
        <f>IFERROR(__xludf.DUMMYFUNCTION("""COMPUTED_VALUE"""),37474.0)</f>
        <v>37474</v>
      </c>
      <c r="C95" s="8">
        <f>IFERROR(__xludf.DUMMYFUNCTION("""COMPUTED_VALUE"""),5.3892418861E10)</f>
        <v>53892418861</v>
      </c>
    </row>
    <row r="96">
      <c r="A96" s="8" t="str">
        <f>IFERROR(__xludf.DUMMYFUNCTION("""COMPUTED_VALUE"""),"Vânia Aparecida Lopes Araujo ")</f>
        <v>Vânia Aparecida Lopes Araujo </v>
      </c>
      <c r="B96" s="49">
        <f>IFERROR(__xludf.DUMMYFUNCTION("""COMPUTED_VALUE"""),28887.0)</f>
        <v>28887</v>
      </c>
      <c r="C96" s="8" t="str">
        <f>IFERROR(__xludf.DUMMYFUNCTION("""COMPUTED_VALUE"""),"615.914.083-34 ")</f>
        <v>615.914.083-34 </v>
      </c>
    </row>
    <row r="97">
      <c r="A97" s="8" t="str">
        <f>IFERROR(__xludf.DUMMYFUNCTION("""COMPUTED_VALUE"""),"David Araujo da Silva ")</f>
        <v>David Araujo da Silva </v>
      </c>
      <c r="B97" s="49">
        <f>IFERROR(__xludf.DUMMYFUNCTION("""COMPUTED_VALUE"""),31440.0)</f>
        <v>31440</v>
      </c>
      <c r="C97" s="8">
        <f>IFERROR(__xludf.DUMMYFUNCTION("""COMPUTED_VALUE"""),1.1115698788E10)</f>
        <v>11115698788</v>
      </c>
    </row>
    <row r="98">
      <c r="A98" s="8" t="str">
        <f>IFERROR(__xludf.DUMMYFUNCTION("""COMPUTED_VALUE"""),"Ana Talita Lopes Araujo ")</f>
        <v>Ana Talita Lopes Araujo </v>
      </c>
      <c r="B98" s="49">
        <f>IFERROR(__xludf.DUMMYFUNCTION("""COMPUTED_VALUE"""),42594.0)</f>
        <v>42594</v>
      </c>
      <c r="C98" s="8">
        <f>IFERROR(__xludf.DUMMYFUNCTION("""COMPUTED_VALUE"""),7.0747042292E10)</f>
        <v>70747042292</v>
      </c>
    </row>
    <row r="99">
      <c r="A99" s="8" t="str">
        <f>IFERROR(__xludf.DUMMYFUNCTION("""COMPUTED_VALUE"""),"Nathan José Lopes Araujo ")</f>
        <v>Nathan José Lopes Araujo </v>
      </c>
      <c r="B99" s="49">
        <f>IFERROR(__xludf.DUMMYFUNCTION("""COMPUTED_VALUE"""),44119.0)</f>
        <v>44119</v>
      </c>
      <c r="C99" s="8" t="str">
        <f>IFERROR(__xludf.DUMMYFUNCTION("""COMPUTED_VALUE"""),"094.248.762-11 ")</f>
        <v>094.248.762-11 </v>
      </c>
    </row>
    <row r="100">
      <c r="A100" s="8" t="str">
        <f>IFERROR(__xludf.DUMMYFUNCTION("""COMPUTED_VALUE"""),"Ivone Rosa Soares Lopes ")</f>
        <v>Ivone Rosa Soares Lopes </v>
      </c>
      <c r="B100" s="49">
        <f>IFERROR(__xludf.DUMMYFUNCTION("""COMPUTED_VALUE"""),20140.0)</f>
        <v>20140</v>
      </c>
      <c r="C100" s="8" t="str">
        <f>IFERROR(__xludf.DUMMYFUNCTION("""COMPUTED_VALUE"""),"328.292.643-04")</f>
        <v>328.292.643-04</v>
      </c>
    </row>
    <row r="101">
      <c r="A101" s="8" t="str">
        <f>IFERROR(__xludf.DUMMYFUNCTION("""COMPUTED_VALUE"""),"Carolina Mendes de Faria")</f>
        <v>Carolina Mendes de Faria</v>
      </c>
      <c r="B101" s="49">
        <f>IFERROR(__xludf.DUMMYFUNCTION("""COMPUTED_VALUE"""),32101.0)</f>
        <v>32101</v>
      </c>
      <c r="C101" s="8" t="str">
        <f>IFERROR(__xludf.DUMMYFUNCTION("""COMPUTED_VALUE"""),"370.634.878-09")</f>
        <v>370.634.878-09</v>
      </c>
    </row>
    <row r="102">
      <c r="A102" s="8" t="str">
        <f>IFERROR(__xludf.DUMMYFUNCTION("""COMPUTED_VALUE"""),"Isabela Maria de Moura Ribeiro")</f>
        <v>Isabela Maria de Moura Ribeiro</v>
      </c>
      <c r="B102" s="49">
        <f>IFERROR(__xludf.DUMMYFUNCTION("""COMPUTED_VALUE"""),35237.0)</f>
        <v>35237</v>
      </c>
      <c r="C102" s="8" t="str">
        <f>IFERROR(__xludf.DUMMYFUNCTION("""COMPUTED_VALUE"""),"03419028105")</f>
        <v>03419028105</v>
      </c>
    </row>
    <row r="103">
      <c r="A103" s="8" t="str">
        <f>IFERROR(__xludf.DUMMYFUNCTION("""COMPUTED_VALUE"""),"Márcia Cavalcante Ribeiro ")</f>
        <v>Márcia Cavalcante Ribeiro </v>
      </c>
      <c r="B103" s="49">
        <f>IFERROR(__xludf.DUMMYFUNCTION("""COMPUTED_VALUE"""),31697.0)</f>
        <v>31697</v>
      </c>
      <c r="C103" s="8" t="str">
        <f>IFERROR(__xludf.DUMMYFUNCTION("""COMPUTED_VALUE"""),"01052577377")</f>
        <v>01052577377</v>
      </c>
    </row>
    <row r="104">
      <c r="A104" s="8" t="str">
        <f>IFERROR(__xludf.DUMMYFUNCTION("""COMPUTED_VALUE"""),"Jarileuda Nascimento de Oliveira Marques ")</f>
        <v>Jarileuda Nascimento de Oliveira Marques </v>
      </c>
      <c r="B104" s="49">
        <f>IFERROR(__xludf.DUMMYFUNCTION("""COMPUTED_VALUE"""),26682.0)</f>
        <v>26682</v>
      </c>
      <c r="C104" s="8">
        <f>IFERROR(__xludf.DUMMYFUNCTION("""COMPUTED_VALUE"""),3.2029924814E10)</f>
        <v>32029924814</v>
      </c>
    </row>
    <row r="105">
      <c r="A105" s="8" t="str">
        <f>IFERROR(__xludf.DUMMYFUNCTION("""COMPUTED_VALUE"""),"Adail Gomes Marques ")</f>
        <v>Adail Gomes Marques </v>
      </c>
      <c r="B105" s="49">
        <f>IFERROR(__xludf.DUMMYFUNCTION("""COMPUTED_VALUE"""),24994.0)</f>
        <v>24994</v>
      </c>
      <c r="C105" s="8">
        <f>IFERROR(__xludf.DUMMYFUNCTION("""COMPUTED_VALUE"""),1.8625981852E10)</f>
        <v>18625981852</v>
      </c>
    </row>
    <row r="106">
      <c r="A106" s="8" t="str">
        <f>IFERROR(__xludf.DUMMYFUNCTION("""COMPUTED_VALUE"""),"Rosi Aparecida dos Reis Oliveira ")</f>
        <v>Rosi Aparecida dos Reis Oliveira </v>
      </c>
      <c r="B106" s="49">
        <f>IFERROR(__xludf.DUMMYFUNCTION("""COMPUTED_VALUE"""),29652.0)</f>
        <v>29652</v>
      </c>
      <c r="C106" s="8" t="str">
        <f>IFERROR(__xludf.DUMMYFUNCTION("""COMPUTED_VALUE"""),"219.177.618-30")</f>
        <v>219.177.618-30</v>
      </c>
    </row>
    <row r="107">
      <c r="A107" s="8" t="str">
        <f>IFERROR(__xludf.DUMMYFUNCTION("""COMPUTED_VALUE"""),"Maryana dos Anjos Reis Oliveira ")</f>
        <v>Maryana dos Anjos Reis Oliveira </v>
      </c>
      <c r="B107" s="49">
        <f>IFERROR(__xludf.DUMMYFUNCTION("""COMPUTED_VALUE"""),38613.0)</f>
        <v>38613</v>
      </c>
      <c r="C107" s="8">
        <f>IFERROR(__xludf.DUMMYFUNCTION("""COMPUTED_VALUE"""),4.3150514894E10)</f>
        <v>43150514894</v>
      </c>
    </row>
    <row r="108">
      <c r="A108" s="8" t="str">
        <f>IFERROR(__xludf.DUMMYFUNCTION("""COMPUTED_VALUE"""),"Ana Paula Giffoni ")</f>
        <v>Ana Paula Giffoni </v>
      </c>
      <c r="B108" s="49">
        <f>IFERROR(__xludf.DUMMYFUNCTION("""COMPUTED_VALUE"""),27626.0)</f>
        <v>27626</v>
      </c>
      <c r="C108" s="8" t="str">
        <f>IFERROR(__xludf.DUMMYFUNCTION("""COMPUTED_VALUE"""),"201.854.038-67 ")</f>
        <v>201.854.038-67 </v>
      </c>
    </row>
    <row r="109">
      <c r="A109" s="8" t="str">
        <f>IFERROR(__xludf.DUMMYFUNCTION("""COMPUTED_VALUE"""),"Lucas Ferreira kupka")</f>
        <v>Lucas Ferreira kupka</v>
      </c>
      <c r="B109" s="49">
        <f>IFERROR(__xludf.DUMMYFUNCTION("""COMPUTED_VALUE"""),35241.0)</f>
        <v>35241</v>
      </c>
      <c r="C109" s="8" t="str">
        <f>IFERROR(__xludf.DUMMYFUNCTION("""COMPUTED_VALUE"""),"450 204 358 30 ")</f>
        <v>450 204 358 30 </v>
      </c>
    </row>
    <row r="110">
      <c r="A110" s="8" t="str">
        <f>IFERROR(__xludf.DUMMYFUNCTION("""COMPUTED_VALUE"""),"Viviane da Silva Ferrari Tedesqui ")</f>
        <v>Viviane da Silva Ferrari Tedesqui </v>
      </c>
      <c r="B110" s="49">
        <f>IFERROR(__xludf.DUMMYFUNCTION("""COMPUTED_VALUE"""),30998.0)</f>
        <v>30998</v>
      </c>
      <c r="C110" s="8">
        <f>IFERROR(__xludf.DUMMYFUNCTION("""COMPUTED_VALUE"""),3.3187466818E10)</f>
        <v>33187466818</v>
      </c>
    </row>
    <row r="111">
      <c r="A111" s="8" t="str">
        <f>IFERROR(__xludf.DUMMYFUNCTION("""COMPUTED_VALUE"""),"Elvis Tedesqui ")</f>
        <v>Elvis Tedesqui </v>
      </c>
      <c r="B111" s="49">
        <f>IFERROR(__xludf.DUMMYFUNCTION("""COMPUTED_VALUE"""),31667.0)</f>
        <v>31667</v>
      </c>
      <c r="C111" s="8">
        <f>IFERROR(__xludf.DUMMYFUNCTION("""COMPUTED_VALUE"""),3.4128797898E10)</f>
        <v>34128797898</v>
      </c>
    </row>
    <row r="112">
      <c r="A112" s="8" t="str">
        <f>IFERROR(__xludf.DUMMYFUNCTION("""COMPUTED_VALUE"""),"Daniel Ferrari Tedesqui ")</f>
        <v>Daniel Ferrari Tedesqui </v>
      </c>
      <c r="B112" s="49">
        <f>IFERROR(__xludf.DUMMYFUNCTION("""COMPUTED_VALUE"""),43514.0)</f>
        <v>43514</v>
      </c>
      <c r="C112" s="8">
        <f>IFERROR(__xludf.DUMMYFUNCTION("""COMPUTED_VALUE"""),5.6637750808E10)</f>
        <v>56637750808</v>
      </c>
    </row>
    <row r="113">
      <c r="A113" s="8" t="str">
        <f>IFERROR(__xludf.DUMMYFUNCTION("""COMPUTED_VALUE"""),"Mateus Ferrari Tedesqui ")</f>
        <v>Mateus Ferrari Tedesqui </v>
      </c>
      <c r="B113" s="49">
        <f>IFERROR(__xludf.DUMMYFUNCTION("""COMPUTED_VALUE"""),45268.0)</f>
        <v>45268</v>
      </c>
      <c r="C113" s="8" t="str">
        <f>IFERROR(__xludf.DUMMYFUNCTION("""COMPUTED_VALUE"""),"01445723891")</f>
        <v>01445723891</v>
      </c>
    </row>
    <row r="114">
      <c r="A114" s="8" t="str">
        <f>IFERROR(__xludf.DUMMYFUNCTION("""COMPUTED_VALUE"""),"AMANDA MOURA DA SILVA ")</f>
        <v>AMANDA MOURA DA SILVA </v>
      </c>
      <c r="B114" s="49">
        <f>IFERROR(__xludf.DUMMYFUNCTION("""COMPUTED_VALUE"""),34892.0)</f>
        <v>34892</v>
      </c>
      <c r="C114" s="8">
        <f>IFERROR(__xludf.DUMMYFUNCTION("""COMPUTED_VALUE"""),4.1777496802E10)</f>
        <v>41777496802</v>
      </c>
    </row>
    <row r="115">
      <c r="A115" s="8" t="str">
        <f>IFERROR(__xludf.DUMMYFUNCTION("""COMPUTED_VALUE"""),"Victoria Gomes de Oliveira ")</f>
        <v>Victoria Gomes de Oliveira </v>
      </c>
      <c r="B115" s="49">
        <f>IFERROR(__xludf.DUMMYFUNCTION("""COMPUTED_VALUE"""),36559.0)</f>
        <v>36559</v>
      </c>
      <c r="C115" s="8">
        <f>IFERROR(__xludf.DUMMYFUNCTION("""COMPUTED_VALUE"""),4.89735336E9)</f>
        <v>4897353360</v>
      </c>
    </row>
    <row r="116">
      <c r="A116" s="8" t="str">
        <f>IFERROR(__xludf.DUMMYFUNCTION("""COMPUTED_VALUE"""),"Leticia Kupka Ferreira")</f>
        <v>Leticia Kupka Ferreira</v>
      </c>
      <c r="B116" s="49">
        <f>IFERROR(__xludf.DUMMYFUNCTION("""COMPUTED_VALUE"""),35978.0)</f>
        <v>35978</v>
      </c>
      <c r="C116" s="8" t="str">
        <f>IFERROR(__xludf.DUMMYFUNCTION("""COMPUTED_VALUE"""),"470.180.128-30")</f>
        <v>470.180.128-30</v>
      </c>
    </row>
    <row r="117">
      <c r="A117" s="8" t="str">
        <f>IFERROR(__xludf.DUMMYFUNCTION("""COMPUTED_VALUE"""),"Lucas Ferreira Kupka")</f>
        <v>Lucas Ferreira Kupka</v>
      </c>
      <c r="B117" s="49">
        <f>IFERROR(__xludf.DUMMYFUNCTION("""COMPUTED_VALUE"""),35241.0)</f>
        <v>35241</v>
      </c>
      <c r="C117" s="8" t="str">
        <f>IFERROR(__xludf.DUMMYFUNCTION("""COMPUTED_VALUE"""),"450.204.358-30")</f>
        <v>450.204.358-30</v>
      </c>
    </row>
    <row r="118">
      <c r="A118" s="8" t="str">
        <f>IFERROR(__xludf.DUMMYFUNCTION("""COMPUTED_VALUE"""),"Beatriz Fernanda Lucyrio de Souza ")</f>
        <v>Beatriz Fernanda Lucyrio de Souza </v>
      </c>
      <c r="B118" s="49">
        <f>IFERROR(__xludf.DUMMYFUNCTION("""COMPUTED_VALUE"""),35138.0)</f>
        <v>35138</v>
      </c>
      <c r="C118" s="8">
        <f>IFERROR(__xludf.DUMMYFUNCTION("""COMPUTED_VALUE"""),4.5431177869E10)</f>
        <v>45431177869</v>
      </c>
    </row>
    <row r="119">
      <c r="A119" s="8" t="str">
        <f>IFERROR(__xludf.DUMMYFUNCTION("""COMPUTED_VALUE"""),"Ryan Fernando Davtys Guedes de Campos")</f>
        <v>Ryan Fernando Davtys Guedes de Campos</v>
      </c>
      <c r="B119" s="49">
        <f>IFERROR(__xludf.DUMMYFUNCTION("""COMPUTED_VALUE"""),37568.0)</f>
        <v>37568</v>
      </c>
      <c r="C119" s="8">
        <f>IFERROR(__xludf.DUMMYFUNCTION("""COMPUTED_VALUE"""),5.2253483869E10)</f>
        <v>52253483869</v>
      </c>
    </row>
    <row r="120">
      <c r="A120" s="8" t="str">
        <f>IFERROR(__xludf.DUMMYFUNCTION("""COMPUTED_VALUE"""),"Keli Cristina Ferreira da Silva ")</f>
        <v>Keli Cristina Ferreira da Silva </v>
      </c>
      <c r="B120" s="49">
        <f>IFERROR(__xludf.DUMMYFUNCTION("""COMPUTED_VALUE"""),29880.0)</f>
        <v>29880</v>
      </c>
      <c r="C120" s="8">
        <f>IFERROR(__xludf.DUMMYFUNCTION("""COMPUTED_VALUE"""),3.03182718E10)</f>
        <v>30318271800</v>
      </c>
    </row>
    <row r="121">
      <c r="A121" s="8" t="str">
        <f>IFERROR(__xludf.DUMMYFUNCTION("""COMPUTED_VALUE"""),"Elienai Bernardo da Silva ")</f>
        <v>Elienai Bernardo da Silva </v>
      </c>
      <c r="B121" s="49">
        <f>IFERROR(__xludf.DUMMYFUNCTION("""COMPUTED_VALUE"""),28923.0)</f>
        <v>28923</v>
      </c>
      <c r="C121" s="8">
        <f>IFERROR(__xludf.DUMMYFUNCTION("""COMPUTED_VALUE"""),2.1628460806E10)</f>
        <v>21628460806</v>
      </c>
    </row>
    <row r="122">
      <c r="A122" s="8" t="str">
        <f>IFERROR(__xludf.DUMMYFUNCTION("""COMPUTED_VALUE"""),"Milena Ferreira da Silva ")</f>
        <v>Milena Ferreira da Silva </v>
      </c>
      <c r="B122" s="49">
        <f>IFERROR(__xludf.DUMMYFUNCTION("""COMPUTED_VALUE"""),36842.0)</f>
        <v>36842</v>
      </c>
      <c r="C122" s="8">
        <f>IFERROR(__xludf.DUMMYFUNCTION("""COMPUTED_VALUE"""),4.40383678E10)</f>
        <v>44038367800</v>
      </c>
    </row>
    <row r="123">
      <c r="A123" s="8" t="str">
        <f>IFERROR(__xludf.DUMMYFUNCTION("""COMPUTED_VALUE"""),"Maria José Cândida da Silva campos ")</f>
        <v>Maria José Cândida da Silva campos </v>
      </c>
      <c r="B123" s="49">
        <f>IFERROR(__xludf.DUMMYFUNCTION("""COMPUTED_VALUE"""),27899.0)</f>
        <v>27899</v>
      </c>
      <c r="C123" s="8" t="str">
        <f>IFERROR(__xludf.DUMMYFUNCTION("""COMPUTED_VALUE"""),"268 330 46840")</f>
        <v>268 330 46840</v>
      </c>
    </row>
    <row r="124">
      <c r="A124" s="8" t="str">
        <f>IFERROR(__xludf.DUMMYFUNCTION("""COMPUTED_VALUE"""),"Isabela Ferreira da Silva ")</f>
        <v>Isabela Ferreira da Silva </v>
      </c>
      <c r="B124" s="49">
        <f>IFERROR(__xludf.DUMMYFUNCTION("""COMPUTED_VALUE"""),38774.0)</f>
        <v>38774</v>
      </c>
      <c r="C124" s="8">
        <f>IFERROR(__xludf.DUMMYFUNCTION("""COMPUTED_VALUE"""),4.4038332845E10)</f>
        <v>44038332845</v>
      </c>
    </row>
    <row r="125">
      <c r="A125" s="8" t="str">
        <f>IFERROR(__xludf.DUMMYFUNCTION("""COMPUTED_VALUE"""),"Maria da Cruz Ferreira Dias ")</f>
        <v>Maria da Cruz Ferreira Dias </v>
      </c>
      <c r="B125" s="49">
        <f>IFERROR(__xludf.DUMMYFUNCTION("""COMPUTED_VALUE"""),17571.0)</f>
        <v>17571</v>
      </c>
      <c r="C125" s="8">
        <f>IFERROR(__xludf.DUMMYFUNCTION("""COMPUTED_VALUE"""),6.8016328334E10)</f>
        <v>68016328334</v>
      </c>
    </row>
    <row r="126">
      <c r="A126" s="8" t="str">
        <f>IFERROR(__xludf.DUMMYFUNCTION("""COMPUTED_VALUE"""),"Pedro Neves campos")</f>
        <v>Pedro Neves campos</v>
      </c>
      <c r="B126" s="49">
        <f>IFERROR(__xludf.DUMMYFUNCTION("""COMPUTED_VALUE"""),24925.0)</f>
        <v>24925</v>
      </c>
      <c r="C126" s="8">
        <f>IFERROR(__xludf.DUMMYFUNCTION("""COMPUTED_VALUE"""),8.3210547653E10)</f>
        <v>83210547653</v>
      </c>
    </row>
    <row r="127">
      <c r="A127" s="8" t="str">
        <f>IFERROR(__xludf.DUMMYFUNCTION("""COMPUTED_VALUE"""),"Susanne Merli dos Santos Ribeiro")</f>
        <v>Susanne Merli dos Santos Ribeiro</v>
      </c>
      <c r="B127" s="49">
        <f>IFERROR(__xludf.DUMMYFUNCTION("""COMPUTED_VALUE"""),30980.0)</f>
        <v>30980</v>
      </c>
      <c r="C127" s="8">
        <f>IFERROR(__xludf.DUMMYFUNCTION("""COMPUTED_VALUE"""),3.1508852804E10)</f>
        <v>31508852804</v>
      </c>
    </row>
    <row r="128">
      <c r="A128" s="8" t="str">
        <f>IFERROR(__xludf.DUMMYFUNCTION("""COMPUTED_VALUE"""),"Alisson Spitzner ")</f>
        <v>Alisson Spitzner </v>
      </c>
      <c r="B128" s="49">
        <f>IFERROR(__xludf.DUMMYFUNCTION("""COMPUTED_VALUE"""),35028.0)</f>
        <v>35028</v>
      </c>
      <c r="C128" s="8" t="str">
        <f>IFERROR(__xludf.DUMMYFUNCTION("""COMPUTED_VALUE"""),"08926440958")</f>
        <v>08926440958</v>
      </c>
    </row>
    <row r="129">
      <c r="A129" s="8" t="str">
        <f>IFERROR(__xludf.DUMMYFUNCTION("""COMPUTED_VALUE"""),"Hermenegildo Conceição Silva")</f>
        <v>Hermenegildo Conceição Silva</v>
      </c>
      <c r="B129" s="49">
        <f>IFERROR(__xludf.DUMMYFUNCTION("""COMPUTED_VALUE"""),24941.0)</f>
        <v>24941</v>
      </c>
      <c r="C129" s="8">
        <f>IFERROR(__xludf.DUMMYFUNCTION("""COMPUTED_VALUE"""),4.7432233187E10)</f>
        <v>47432233187</v>
      </c>
    </row>
    <row r="130">
      <c r="A130" s="8" t="str">
        <f>IFERROR(__xludf.DUMMYFUNCTION("""COMPUTED_VALUE"""),"Eliete Balbina dos Santos Saragiotto ")</f>
        <v>Eliete Balbina dos Santos Saragiotto </v>
      </c>
      <c r="B130" s="49">
        <f>IFERROR(__xludf.DUMMYFUNCTION("""COMPUTED_VALUE"""),21158.0)</f>
        <v>21158</v>
      </c>
      <c r="C130" s="8">
        <f>IFERROR(__xludf.DUMMYFUNCTION("""COMPUTED_VALUE"""),2.0776376153E10)</f>
        <v>20776376153</v>
      </c>
    </row>
    <row r="131">
      <c r="A131" s="8" t="str">
        <f>IFERROR(__xludf.DUMMYFUNCTION("""COMPUTED_VALUE"""),"Melquizedeque Cardoso Barbosa Junior ")</f>
        <v>Melquizedeque Cardoso Barbosa Junior </v>
      </c>
      <c r="B131" s="49">
        <f>IFERROR(__xludf.DUMMYFUNCTION("""COMPUTED_VALUE"""),35396.0)</f>
        <v>35396</v>
      </c>
      <c r="C131" s="8" t="str">
        <f>IFERROR(__xludf.DUMMYFUNCTION("""COMPUTED_VALUE"""),"06795974502")</f>
        <v>06795974502</v>
      </c>
    </row>
    <row r="132">
      <c r="A132" s="8" t="str">
        <f>IFERROR(__xludf.DUMMYFUNCTION("""COMPUTED_VALUE"""),"Eliney Maria Vilela Garcia Oliveira ")</f>
        <v>Eliney Maria Vilela Garcia Oliveira </v>
      </c>
      <c r="B132" s="49">
        <f>IFERROR(__xludf.DUMMYFUNCTION("""COMPUTED_VALUE"""),23154.0)</f>
        <v>23154</v>
      </c>
      <c r="C132" s="8" t="str">
        <f>IFERROR(__xludf.DUMMYFUNCTION("""COMPUTED_VALUE"""),"314.510.201-04")</f>
        <v>314.510.201-04</v>
      </c>
    </row>
    <row r="133">
      <c r="A133" s="8" t="str">
        <f>IFERROR(__xludf.DUMMYFUNCTION("""COMPUTED_VALUE"""),"Maria do Carmo Silva Moraes")</f>
        <v>Maria do Carmo Silva Moraes</v>
      </c>
      <c r="B133" s="49">
        <f>IFERROR(__xludf.DUMMYFUNCTION("""COMPUTED_VALUE"""),23279.0)</f>
        <v>23279</v>
      </c>
      <c r="C133" s="8">
        <f>IFERROR(__xludf.DUMMYFUNCTION("""COMPUTED_VALUE"""),2.9386853191E10)</f>
        <v>29386853191</v>
      </c>
    </row>
    <row r="134">
      <c r="A134" s="8" t="str">
        <f>IFERROR(__xludf.DUMMYFUNCTION("""COMPUTED_VALUE"""),"Maria do Carmo Silva Moraes ")</f>
        <v>Maria do Carmo Silva Moraes </v>
      </c>
      <c r="B134" s="49">
        <f>IFERROR(__xludf.DUMMYFUNCTION("""COMPUTED_VALUE"""),23279.0)</f>
        <v>23279</v>
      </c>
      <c r="C134" s="8">
        <f>IFERROR(__xludf.DUMMYFUNCTION("""COMPUTED_VALUE"""),2.9386853191E10)</f>
        <v>29386853191</v>
      </c>
    </row>
    <row r="135">
      <c r="A135" s="8" t="str">
        <f>IFERROR(__xludf.DUMMYFUNCTION("""COMPUTED_VALUE"""),"Eliete Balbina dos Santos Saragiotto")</f>
        <v>Eliete Balbina dos Santos Saragiotto</v>
      </c>
      <c r="B135" s="49">
        <f>IFERROR(__xludf.DUMMYFUNCTION("""COMPUTED_VALUE"""),21158.0)</f>
        <v>21158</v>
      </c>
      <c r="C135" s="8">
        <f>IFERROR(__xludf.DUMMYFUNCTION("""COMPUTED_VALUE"""),2.0776373153E10)</f>
        <v>20776373153</v>
      </c>
    </row>
    <row r="136">
      <c r="A136" s="8" t="str">
        <f>IFERROR(__xludf.DUMMYFUNCTION("""COMPUTED_VALUE"""),"Thayná Serodio Mantovani Carnaiba")</f>
        <v>Thayná Serodio Mantovani Carnaiba</v>
      </c>
      <c r="B136" s="49">
        <f>IFERROR(__xludf.DUMMYFUNCTION("""COMPUTED_VALUE"""),35599.0)</f>
        <v>35599</v>
      </c>
      <c r="C136" s="8">
        <f>IFERROR(__xludf.DUMMYFUNCTION("""COMPUTED_VALUE"""),4.4328617893E10)</f>
        <v>44328617893</v>
      </c>
    </row>
    <row r="137">
      <c r="A137" s="8" t="str">
        <f>IFERROR(__xludf.DUMMYFUNCTION("""COMPUTED_VALUE"""),"Guilherme Carnaiba Mantovani")</f>
        <v>Guilherme Carnaiba Mantovani</v>
      </c>
      <c r="B137" s="49">
        <f>IFERROR(__xludf.DUMMYFUNCTION("""COMPUTED_VALUE"""),45769.0)</f>
        <v>45769</v>
      </c>
      <c r="C137" s="8" t="str">
        <f>IFERROR(__xludf.DUMMYFUNCTION("""COMPUTED_VALUE"""),"02897157844")</f>
        <v>02897157844</v>
      </c>
    </row>
    <row r="138">
      <c r="A138" s="8" t="str">
        <f>IFERROR(__xludf.DUMMYFUNCTION("""COMPUTED_VALUE"""),"Fabiana Santos valente ")</f>
        <v>Fabiana Santos valente </v>
      </c>
      <c r="B138" s="49">
        <f>IFERROR(__xludf.DUMMYFUNCTION("""COMPUTED_VALUE"""),37889.0)</f>
        <v>37889</v>
      </c>
      <c r="C138" s="8">
        <f>IFERROR(__xludf.DUMMYFUNCTION("""COMPUTED_VALUE"""),4.7530780867E10)</f>
        <v>47530780867</v>
      </c>
    </row>
    <row r="139">
      <c r="A139" s="8" t="str">
        <f>IFERROR(__xludf.DUMMYFUNCTION("""COMPUTED_VALUE"""),"Carla Coutinho da Silva ")</f>
        <v>Carla Coutinho da Silva </v>
      </c>
      <c r="B139" s="49">
        <f>IFERROR(__xludf.DUMMYFUNCTION("""COMPUTED_VALUE"""),35499.0)</f>
        <v>35499</v>
      </c>
      <c r="C139" s="8">
        <f>IFERROR(__xludf.DUMMYFUNCTION("""COMPUTED_VALUE"""),4.625124786E10)</f>
        <v>46251247860</v>
      </c>
    </row>
    <row r="140">
      <c r="A140" s="8" t="str">
        <f>IFERROR(__xludf.DUMMYFUNCTION("""COMPUTED_VALUE"""),"Flavia santos valente ")</f>
        <v>Flavia santos valente </v>
      </c>
      <c r="B140" s="49">
        <f>IFERROR(__xludf.DUMMYFUNCTION("""COMPUTED_VALUE"""),37889.0)</f>
        <v>37889</v>
      </c>
      <c r="C140" s="8">
        <f>IFERROR(__xludf.DUMMYFUNCTION("""COMPUTED_VALUE"""),4.7530709801E10)</f>
        <v>47530709801</v>
      </c>
    </row>
    <row r="141">
      <c r="A141" s="8" t="str">
        <f>IFERROR(__xludf.DUMMYFUNCTION("""COMPUTED_VALUE"""),"Flavia lacerda rodrigues ")</f>
        <v>Flavia lacerda rodrigues </v>
      </c>
      <c r="B141" s="49">
        <f>IFERROR(__xludf.DUMMYFUNCTION("""COMPUTED_VALUE"""),35225.0)</f>
        <v>35225</v>
      </c>
      <c r="C141" s="8" t="str">
        <f>IFERROR(__xludf.DUMMYFUNCTION("""COMPUTED_VALUE"""),"465.240.128-01 ")</f>
        <v>465.240.128-01 </v>
      </c>
    </row>
    <row r="142">
      <c r="A142" s="8" t="str">
        <f>IFERROR(__xludf.DUMMYFUNCTION("""COMPUTED_VALUE"""),"Débora Dias")</f>
        <v>Débora Dias</v>
      </c>
      <c r="B142" s="49">
        <f>IFERROR(__xludf.DUMMYFUNCTION("""COMPUTED_VALUE"""),30624.0)</f>
        <v>30624</v>
      </c>
      <c r="C142" s="8" t="str">
        <f>IFERROR(__xludf.DUMMYFUNCTION("""COMPUTED_VALUE"""),"330.683.588-92")</f>
        <v>330.683.588-92</v>
      </c>
    </row>
    <row r="143">
      <c r="A143" s="8" t="str">
        <f>IFERROR(__xludf.DUMMYFUNCTION("""COMPUTED_VALUE"""),"Breno André Alves Dias ")</f>
        <v>Breno André Alves Dias </v>
      </c>
      <c r="B143" s="49">
        <f>IFERROR(__xludf.DUMMYFUNCTION("""COMPUTED_VALUE"""),30085.0)</f>
        <v>30085</v>
      </c>
      <c r="C143" s="8" t="str">
        <f>IFERROR(__xludf.DUMMYFUNCTION("""COMPUTED_VALUE"""),"05432838605")</f>
        <v>05432838605</v>
      </c>
    </row>
    <row r="144">
      <c r="A144" s="8" t="str">
        <f>IFERROR(__xludf.DUMMYFUNCTION("""COMPUTED_VALUE"""),"Breno André Alves Dias ")</f>
        <v>Breno André Alves Dias </v>
      </c>
      <c r="B144" s="49">
        <f>IFERROR(__xludf.DUMMYFUNCTION("""COMPUTED_VALUE"""),30085.0)</f>
        <v>30085</v>
      </c>
      <c r="C144" s="8" t="str">
        <f>IFERROR(__xludf.DUMMYFUNCTION("""COMPUTED_VALUE"""),"054.328.386-05")</f>
        <v>054.328.386-05</v>
      </c>
    </row>
    <row r="145">
      <c r="A145" s="8" t="str">
        <f>IFERROR(__xludf.DUMMYFUNCTION("""COMPUTED_VALUE"""),"Juliana Silva da Rosa Santana ")</f>
        <v>Juliana Silva da Rosa Santana </v>
      </c>
      <c r="B145" s="49">
        <f>IFERROR(__xludf.DUMMYFUNCTION("""COMPUTED_VALUE"""),31756.0)</f>
        <v>31756</v>
      </c>
      <c r="C145" s="8" t="str">
        <f>IFERROR(__xludf.DUMMYFUNCTION("""COMPUTED_VALUE"""),"017.511.550-80")</f>
        <v>017.511.550-80</v>
      </c>
    </row>
    <row r="146">
      <c r="A146" s="8" t="str">
        <f>IFERROR(__xludf.DUMMYFUNCTION("""COMPUTED_VALUE"""),"Paulo Cesar dos Santos Jesus ")</f>
        <v>Paulo Cesar dos Santos Jesus </v>
      </c>
      <c r="B146" s="49">
        <f>IFERROR(__xludf.DUMMYFUNCTION("""COMPUTED_VALUE"""),33608.0)</f>
        <v>33608</v>
      </c>
      <c r="C146" s="8">
        <f>IFERROR(__xludf.DUMMYFUNCTION("""COMPUTED_VALUE"""),3.6134138843E10)</f>
        <v>36134138843</v>
      </c>
    </row>
    <row r="147">
      <c r="A147" s="8" t="str">
        <f>IFERROR(__xludf.DUMMYFUNCTION("""COMPUTED_VALUE"""),"Michelli Alves Santana Boís ")</f>
        <v>Michelli Alves Santana Boís </v>
      </c>
      <c r="B147" s="49">
        <f>IFERROR(__xludf.DUMMYFUNCTION("""COMPUTED_VALUE"""),35036.0)</f>
        <v>35036</v>
      </c>
      <c r="C147" s="8">
        <f>IFERROR(__xludf.DUMMYFUNCTION("""COMPUTED_VALUE"""),4.4186897883E10)</f>
        <v>44186897883</v>
      </c>
    </row>
    <row r="148">
      <c r="A148" s="8" t="str">
        <f>IFERROR(__xludf.DUMMYFUNCTION("""COMPUTED_VALUE"""),"Vitor Henrique Boís Ramos ")</f>
        <v>Vitor Henrique Boís Ramos </v>
      </c>
      <c r="B148" s="49">
        <f>IFERROR(__xludf.DUMMYFUNCTION("""COMPUTED_VALUE"""),35971.0)</f>
        <v>35971</v>
      </c>
      <c r="C148" s="8">
        <f>IFERROR(__xludf.DUMMYFUNCTION("""COMPUTED_VALUE"""),4.8018459835E10)</f>
        <v>48018459835</v>
      </c>
    </row>
    <row r="149">
      <c r="A149" s="8" t="str">
        <f>IFERROR(__xludf.DUMMYFUNCTION("""COMPUTED_VALUE"""),"Paula Oliveira Thobias ")</f>
        <v>Paula Oliveira Thobias </v>
      </c>
      <c r="B149" s="49">
        <f>IFERROR(__xludf.DUMMYFUNCTION("""COMPUTED_VALUE"""),35095.0)</f>
        <v>35095</v>
      </c>
      <c r="C149" s="8">
        <f>IFERROR(__xludf.DUMMYFUNCTION("""COMPUTED_VALUE"""),4.5048766806E10)</f>
        <v>45048766806</v>
      </c>
    </row>
    <row r="150">
      <c r="A150" s="8" t="str">
        <f>IFERROR(__xludf.DUMMYFUNCTION("""COMPUTED_VALUE"""),"Eduarda Palanca")</f>
        <v>Eduarda Palanca</v>
      </c>
      <c r="B150" s="49">
        <f>IFERROR(__xludf.DUMMYFUNCTION("""COMPUTED_VALUE"""),36272.0)</f>
        <v>36272</v>
      </c>
      <c r="C150" s="8">
        <f>IFERROR(__xludf.DUMMYFUNCTION("""COMPUTED_VALUE"""),4.5055847808E10)</f>
        <v>45055847808</v>
      </c>
    </row>
    <row r="151">
      <c r="A151" s="8" t="str">
        <f>IFERROR(__xludf.DUMMYFUNCTION("""COMPUTED_VALUE"""),"Millena dos Santos Jesus Carrara")</f>
        <v>Millena dos Santos Jesus Carrara</v>
      </c>
      <c r="B151" s="49">
        <f>IFERROR(__xludf.DUMMYFUNCTION("""COMPUTED_VALUE"""),33140.0)</f>
        <v>33140</v>
      </c>
      <c r="C151" s="8">
        <f>IFERROR(__xludf.DUMMYFUNCTION("""COMPUTED_VALUE"""),3.2908923874E10)</f>
        <v>32908923874</v>
      </c>
    </row>
    <row r="152">
      <c r="A152" s="8" t="str">
        <f>IFERROR(__xludf.DUMMYFUNCTION("""COMPUTED_VALUE"""),"Maria Assunção dos Santos Jesus ")</f>
        <v>Maria Assunção dos Santos Jesus </v>
      </c>
      <c r="B152" s="49">
        <f>IFERROR(__xludf.DUMMYFUNCTION("""COMPUTED_VALUE"""),22873.0)</f>
        <v>22873</v>
      </c>
      <c r="C152" s="8">
        <f>IFERROR(__xludf.DUMMYFUNCTION("""COMPUTED_VALUE"""),2.896276122E10)</f>
        <v>28962761220</v>
      </c>
    </row>
    <row r="153">
      <c r="A153" s="8" t="str">
        <f>IFERROR(__xludf.DUMMYFUNCTION("""COMPUTED_VALUE"""),"Benjamin de Jesus Carrara")</f>
        <v>Benjamin de Jesus Carrara</v>
      </c>
      <c r="B153" s="49">
        <f>IFERROR(__xludf.DUMMYFUNCTION("""COMPUTED_VALUE"""),43553.0)</f>
        <v>43553</v>
      </c>
      <c r="C153" s="8">
        <f>IFERROR(__xludf.DUMMYFUNCTION("""COMPUTED_VALUE"""),5.6888760855E10)</f>
        <v>56888760855</v>
      </c>
    </row>
    <row r="154">
      <c r="A154" s="8" t="str">
        <f>IFERROR(__xludf.DUMMYFUNCTION("""COMPUTED_VALUE"""),"Vincenzo de Jesus Carrara")</f>
        <v>Vincenzo de Jesus Carrara</v>
      </c>
      <c r="B154" s="49">
        <f>IFERROR(__xludf.DUMMYFUNCTION("""COMPUTED_VALUE"""),44326.0)</f>
        <v>44326</v>
      </c>
      <c r="C154" s="8">
        <f>IFERROR(__xludf.DUMMYFUNCTION("""COMPUTED_VALUE"""),5.9353553881E10)</f>
        <v>59353553881</v>
      </c>
    </row>
    <row r="155">
      <c r="A155" s="8" t="str">
        <f>IFERROR(__xludf.DUMMYFUNCTION("""COMPUTED_VALUE"""),"Renata Aparecida de Oliveira Domingues ")</f>
        <v>Renata Aparecida de Oliveira Domingues </v>
      </c>
      <c r="B155" s="49">
        <f>IFERROR(__xludf.DUMMYFUNCTION("""COMPUTED_VALUE"""),31669.0)</f>
        <v>31669</v>
      </c>
      <c r="C155" s="8" t="str">
        <f>IFERROR(__xludf.DUMMYFUNCTION("""COMPUTED_VALUE"""),"365.352.948-46")</f>
        <v>365.352.948-46</v>
      </c>
    </row>
    <row r="156">
      <c r="A156" s="8" t="str">
        <f>IFERROR(__xludf.DUMMYFUNCTION("""COMPUTED_VALUE"""),"Rodolfo Tavares Miranda ")</f>
        <v>Rodolfo Tavares Miranda </v>
      </c>
      <c r="B156" s="49">
        <f>IFERROR(__xludf.DUMMYFUNCTION("""COMPUTED_VALUE"""),32693.0)</f>
        <v>32693</v>
      </c>
      <c r="C156" s="8" t="str">
        <f>IFERROR(__xludf.DUMMYFUNCTION("""COMPUTED_VALUE"""),"365.352.948-46")</f>
        <v>365.352.948-46</v>
      </c>
    </row>
    <row r="157">
      <c r="A157" s="8" t="str">
        <f>IFERROR(__xludf.DUMMYFUNCTION("""COMPUTED_VALUE"""),"Rafael Domingues Miranda ")</f>
        <v>Rafael Domingues Miranda </v>
      </c>
      <c r="B157" s="49">
        <f>IFERROR(__xludf.DUMMYFUNCTION("""COMPUTED_VALUE"""),43306.0)</f>
        <v>43306</v>
      </c>
      <c r="C157" s="8">
        <f>IFERROR(__xludf.DUMMYFUNCTION("""COMPUTED_VALUE"""),5.5460325889E10)</f>
        <v>55460325889</v>
      </c>
    </row>
    <row r="158">
      <c r="A158" s="8" t="str">
        <f>IFERROR(__xludf.DUMMYFUNCTION("""COMPUTED_VALUE"""),"Isabella do Nascimento Batista")</f>
        <v>Isabella do Nascimento Batista</v>
      </c>
      <c r="B158" s="49">
        <f>IFERROR(__xludf.DUMMYFUNCTION("""COMPUTED_VALUE"""),39376.0)</f>
        <v>39376</v>
      </c>
      <c r="C158" s="8">
        <f>IFERROR(__xludf.DUMMYFUNCTION("""COMPUTED_VALUE"""),5.4556254892E10)</f>
        <v>54556254892</v>
      </c>
    </row>
    <row r="159">
      <c r="A159" s="8" t="str">
        <f>IFERROR(__xludf.DUMMYFUNCTION("""COMPUTED_VALUE"""),"Stella do Nascimento Batista")</f>
        <v>Stella do Nascimento Batista</v>
      </c>
      <c r="B159" s="49">
        <f>IFERROR(__xludf.DUMMYFUNCTION("""COMPUTED_VALUE"""),39376.0)</f>
        <v>39376</v>
      </c>
      <c r="C159" s="8">
        <f>IFERROR(__xludf.DUMMYFUNCTION("""COMPUTED_VALUE"""),5.4556324858E10)</f>
        <v>54556324858</v>
      </c>
    </row>
    <row r="160">
      <c r="A160" s="8" t="str">
        <f>IFERROR(__xludf.DUMMYFUNCTION("""COMPUTED_VALUE"""),"Kelly Cristina do Nascimento Batista")</f>
        <v>Kelly Cristina do Nascimento Batista</v>
      </c>
      <c r="B160" s="49">
        <f>IFERROR(__xludf.DUMMYFUNCTION("""COMPUTED_VALUE"""),28627.0)</f>
        <v>28627</v>
      </c>
      <c r="C160" s="8">
        <f>IFERROR(__xludf.DUMMYFUNCTION("""COMPUTED_VALUE"""),1.7090837866E10)</f>
        <v>17090837866</v>
      </c>
    </row>
    <row r="161">
      <c r="A161" s="8" t="str">
        <f>IFERROR(__xludf.DUMMYFUNCTION("""COMPUTED_VALUE"""),"Josilene Bonete de Faria ")</f>
        <v>Josilene Bonete de Faria </v>
      </c>
      <c r="B161" s="49">
        <f>IFERROR(__xludf.DUMMYFUNCTION("""COMPUTED_VALUE"""),34243.0)</f>
        <v>34243</v>
      </c>
      <c r="C161" s="8" t="str">
        <f>IFERROR(__xludf.DUMMYFUNCTION("""COMPUTED_VALUE"""),"08093548963")</f>
        <v>08093548963</v>
      </c>
    </row>
    <row r="162">
      <c r="A162" s="8" t="str">
        <f>IFERROR(__xludf.DUMMYFUNCTION("""COMPUTED_VALUE"""),"Miriam de Fátima Neres")</f>
        <v>Miriam de Fátima Neres</v>
      </c>
      <c r="B162" s="49">
        <f>IFERROR(__xludf.DUMMYFUNCTION("""COMPUTED_VALUE"""),31126.0)</f>
        <v>31126</v>
      </c>
      <c r="C162" s="8" t="str">
        <f>IFERROR(__xludf.DUMMYFUNCTION("""COMPUTED_VALUE"""),"07877179910")</f>
        <v>07877179910</v>
      </c>
    </row>
    <row r="163">
      <c r="A163" s="8" t="str">
        <f>IFERROR(__xludf.DUMMYFUNCTION("""COMPUTED_VALUE"""),"Kauan Ariel De Souza Bomfim")</f>
        <v>Kauan Ariel De Souza Bomfim</v>
      </c>
      <c r="B163" s="49">
        <f>IFERROR(__xludf.DUMMYFUNCTION("""COMPUTED_VALUE"""),37099.0)</f>
        <v>37099</v>
      </c>
      <c r="C163" s="8">
        <f>IFERROR(__xludf.DUMMYFUNCTION("""COMPUTED_VALUE"""),1.07897859E10)</f>
        <v>10789785900</v>
      </c>
    </row>
    <row r="164">
      <c r="A164" s="8" t="str">
        <f>IFERROR(__xludf.DUMMYFUNCTION("""COMPUTED_VALUE"""),"Amailson Mateus dos Santos de jesus ")</f>
        <v>Amailson Mateus dos Santos de jesus </v>
      </c>
      <c r="B164" s="49">
        <f>IFERROR(__xludf.DUMMYFUNCTION("""COMPUTED_VALUE"""),36191.0)</f>
        <v>36191</v>
      </c>
      <c r="C164" s="8">
        <f>IFERROR(__xludf.DUMMYFUNCTION("""COMPUTED_VALUE"""),1.1941708978E10)</f>
        <v>11941708978</v>
      </c>
    </row>
    <row r="165">
      <c r="A165" s="8" t="str">
        <f>IFERROR(__xludf.DUMMYFUNCTION("""COMPUTED_VALUE"""),"Eroildes de Jesus Burkner")</f>
        <v>Eroildes de Jesus Burkner</v>
      </c>
      <c r="B165" s="49">
        <f>IFERROR(__xludf.DUMMYFUNCTION("""COMPUTED_VALUE"""),25204.0)</f>
        <v>25204</v>
      </c>
      <c r="C165" s="8" t="str">
        <f>IFERROR(__xludf.DUMMYFUNCTION("""COMPUTED_VALUE"""),"766.831.259-53")</f>
        <v>766.831.259-53</v>
      </c>
    </row>
    <row r="166">
      <c r="A166" s="8" t="str">
        <f>IFERROR(__xludf.DUMMYFUNCTION("""COMPUTED_VALUE"""),"Júlia Lorrayne de Souza Silva")</f>
        <v>Júlia Lorrayne de Souza Silva</v>
      </c>
      <c r="B166" s="49">
        <f>IFERROR(__xludf.DUMMYFUNCTION("""COMPUTED_VALUE"""),40699.0)</f>
        <v>40699</v>
      </c>
      <c r="C166" s="8" t="str">
        <f>IFERROR(__xludf.DUMMYFUNCTION("""COMPUTED_VALUE"""),"088.634.992-33")</f>
        <v>088.634.992-33</v>
      </c>
    </row>
    <row r="167">
      <c r="A167" s="8" t="str">
        <f>IFERROR(__xludf.DUMMYFUNCTION("""COMPUTED_VALUE"""),"Mariza Gonçalves dos Reis Araujo")</f>
        <v>Mariza Gonçalves dos Reis Araujo</v>
      </c>
      <c r="B167" s="49">
        <f>IFERROR(__xludf.DUMMYFUNCTION("""COMPUTED_VALUE"""),20991.0)</f>
        <v>20991</v>
      </c>
      <c r="C167" s="8" t="str">
        <f>IFERROR(__xludf.DUMMYFUNCTION("""COMPUTED_VALUE"""),"850.602.759-49")</f>
        <v>850.602.759-49</v>
      </c>
    </row>
    <row r="168">
      <c r="A168" s="8" t="str">
        <f>IFERROR(__xludf.DUMMYFUNCTION("""COMPUTED_VALUE"""),"Júlia Lorrayne de Souza Silva")</f>
        <v>Júlia Lorrayne de Souza Silva</v>
      </c>
      <c r="B168" s="49">
        <f>IFERROR(__xludf.DUMMYFUNCTION("""COMPUTED_VALUE"""),40699.0)</f>
        <v>40699</v>
      </c>
      <c r="C168" s="8" t="str">
        <f>IFERROR(__xludf.DUMMYFUNCTION("""COMPUTED_VALUE"""),"088.634.992-33")</f>
        <v>088.634.992-33</v>
      </c>
    </row>
    <row r="169">
      <c r="A169" s="8" t="str">
        <f>IFERROR(__xludf.DUMMYFUNCTION("""COMPUTED_VALUE"""),"Helen Cristina Ramos Guimaraes")</f>
        <v>Helen Cristina Ramos Guimaraes</v>
      </c>
      <c r="B169" s="49">
        <f>IFERROR(__xludf.DUMMYFUNCTION("""COMPUTED_VALUE"""),31479.0)</f>
        <v>31479</v>
      </c>
      <c r="C169" s="8">
        <f>IFERROR(__xludf.DUMMYFUNCTION("""COMPUTED_VALUE"""),3.2847002855E10)</f>
        <v>32847002855</v>
      </c>
    </row>
    <row r="170">
      <c r="A170" s="8" t="str">
        <f>IFERROR(__xludf.DUMMYFUNCTION("""COMPUTED_VALUE"""),"Anderson Roberto Guimaraes")</f>
        <v>Anderson Roberto Guimaraes</v>
      </c>
      <c r="B170" s="49">
        <f>IFERROR(__xludf.DUMMYFUNCTION("""COMPUTED_VALUE"""),29650.0)</f>
        <v>29650</v>
      </c>
      <c r="C170" s="8">
        <f>IFERROR(__xludf.DUMMYFUNCTION("""COMPUTED_VALUE"""),2.249937858E9)</f>
        <v>2249937858</v>
      </c>
    </row>
    <row r="171">
      <c r="A171" s="8" t="str">
        <f>IFERROR(__xludf.DUMMYFUNCTION("""COMPUTED_VALUE"""),"Helena Ramos Guimarães")</f>
        <v>Helena Ramos Guimarães</v>
      </c>
      <c r="B171" s="49">
        <f>IFERROR(__xludf.DUMMYFUNCTION("""COMPUTED_VALUE"""),43583.0)</f>
        <v>43583</v>
      </c>
      <c r="C171" s="8">
        <f>IFERROR(__xludf.DUMMYFUNCTION("""COMPUTED_VALUE"""),5.7152891818E10)</f>
        <v>57152891818</v>
      </c>
    </row>
    <row r="172">
      <c r="A172" s="8" t="str">
        <f>IFERROR(__xludf.DUMMYFUNCTION("""COMPUTED_VALUE"""),"Helloysa Zaccarias Guimarães")</f>
        <v>Helloysa Zaccarias Guimarães</v>
      </c>
      <c r="B172" s="49">
        <f>IFERROR(__xludf.DUMMYFUNCTION("""COMPUTED_VALUE"""),42247.0)</f>
        <v>42247</v>
      </c>
      <c r="C172" s="8">
        <f>IFERROR(__xludf.DUMMYFUNCTION("""COMPUTED_VALUE"""),5.0270167862E10)</f>
        <v>50270167862</v>
      </c>
    </row>
    <row r="173">
      <c r="A173" s="8" t="str">
        <f>IFERROR(__xludf.DUMMYFUNCTION("""COMPUTED_VALUE"""),"Kelly Paiva Inouye ")</f>
        <v>Kelly Paiva Inouye </v>
      </c>
      <c r="B173" s="49">
        <f>IFERROR(__xludf.DUMMYFUNCTION("""COMPUTED_VALUE"""),27436.0)</f>
        <v>27436</v>
      </c>
      <c r="C173" s="8">
        <f>IFERROR(__xludf.DUMMYFUNCTION("""COMPUTED_VALUE"""),9.5381503687E10)</f>
        <v>95381503687</v>
      </c>
    </row>
    <row r="174">
      <c r="A174" s="8" t="str">
        <f>IFERROR(__xludf.DUMMYFUNCTION("""COMPUTED_VALUE"""),"Ricardo Luis de Souza")</f>
        <v>Ricardo Luis de Souza</v>
      </c>
      <c r="B174" s="49">
        <f>IFERROR(__xludf.DUMMYFUNCTION("""COMPUTED_VALUE"""),27981.0)</f>
        <v>27981</v>
      </c>
      <c r="C174" s="8">
        <f>IFERROR(__xludf.DUMMYFUNCTION("""COMPUTED_VALUE"""),1.814263586E10)</f>
        <v>18142635860</v>
      </c>
    </row>
    <row r="175">
      <c r="A175" s="8" t="str">
        <f>IFERROR(__xludf.DUMMYFUNCTION("""COMPUTED_VALUE"""),"João Gabriel Inouye de Souza ")</f>
        <v>João Gabriel Inouye de Souza </v>
      </c>
      <c r="B175" s="49">
        <f>IFERROR(__xludf.DUMMYFUNCTION("""COMPUTED_VALUE"""),39828.0)</f>
        <v>39828</v>
      </c>
      <c r="C175" s="8" t="str">
        <f>IFERROR(__xludf.DUMMYFUNCTION("""COMPUTED_VALUE"""),"549.228.758-32")</f>
        <v>549.228.758-32</v>
      </c>
    </row>
    <row r="176">
      <c r="A176" s="8" t="str">
        <f>IFERROR(__xludf.DUMMYFUNCTION("""COMPUTED_VALUE"""),"Rafael Inouye de Souza ")</f>
        <v>Rafael Inouye de Souza </v>
      </c>
      <c r="B176" s="49">
        <f>IFERROR(__xludf.DUMMYFUNCTION("""COMPUTED_VALUE"""),40420.0)</f>
        <v>40420</v>
      </c>
      <c r="C176" s="8" t="str">
        <f>IFERROR(__xludf.DUMMYFUNCTION("""COMPUTED_VALUE"""),"549.229.598-58")</f>
        <v>549.229.598-58</v>
      </c>
    </row>
    <row r="177">
      <c r="A177" s="8" t="str">
        <f>IFERROR(__xludf.DUMMYFUNCTION("""COMPUTED_VALUE"""),"edson Marcos Ratão")</f>
        <v>edson Marcos Ratão</v>
      </c>
      <c r="B177" s="49">
        <f>IFERROR(__xludf.DUMMYFUNCTION("""COMPUTED_VALUE"""),29311.0)</f>
        <v>29311</v>
      </c>
      <c r="C177" s="8">
        <f>IFERROR(__xludf.DUMMYFUNCTION("""COMPUTED_VALUE"""),2.7415866835E10)</f>
        <v>27415866835</v>
      </c>
    </row>
    <row r="178">
      <c r="A178" s="8" t="str">
        <f>IFERROR(__xludf.DUMMYFUNCTION("""COMPUTED_VALUE"""),"Raiara Soares Trancoso")</f>
        <v>Raiara Soares Trancoso</v>
      </c>
      <c r="B178" s="49">
        <f>IFERROR(__xludf.DUMMYFUNCTION("""COMPUTED_VALUE"""),36330.0)</f>
        <v>36330</v>
      </c>
      <c r="C178" s="8">
        <f>IFERROR(__xludf.DUMMYFUNCTION("""COMPUTED_VALUE"""),4.7493907803E10)</f>
        <v>47493907803</v>
      </c>
    </row>
    <row r="179">
      <c r="A179" s="8" t="str">
        <f>IFERROR(__xludf.DUMMYFUNCTION("""COMPUTED_VALUE"""),"Gustavo Freitas")</f>
        <v>Gustavo Freitas</v>
      </c>
      <c r="B179" s="49">
        <f>IFERROR(__xludf.DUMMYFUNCTION("""COMPUTED_VALUE"""),37455.0)</f>
        <v>37455</v>
      </c>
      <c r="C179" s="8">
        <f>IFERROR(__xludf.DUMMYFUNCTION("""COMPUTED_VALUE"""),8.6302229561E10)</f>
        <v>86302229561</v>
      </c>
    </row>
    <row r="180">
      <c r="A180" s="8" t="str">
        <f>IFERROR(__xludf.DUMMYFUNCTION("""COMPUTED_VALUE"""),"Ana Beatriz Fonseca Santos")</f>
        <v>Ana Beatriz Fonseca Santos</v>
      </c>
      <c r="B180" s="49">
        <f>IFERROR(__xludf.DUMMYFUNCTION("""COMPUTED_VALUE"""),38101.0)</f>
        <v>38101</v>
      </c>
      <c r="C180" s="8" t="str">
        <f>IFERROR(__xludf.DUMMYFUNCTION("""COMPUTED_VALUE"""),"08127251585")</f>
        <v>08127251585</v>
      </c>
    </row>
    <row r="181">
      <c r="A181" s="8" t="str">
        <f>IFERROR(__xludf.DUMMYFUNCTION("""COMPUTED_VALUE"""),"Daniele Silva Rodrigues ")</f>
        <v>Daniele Silva Rodrigues </v>
      </c>
      <c r="B181" s="49">
        <f>IFERROR(__xludf.DUMMYFUNCTION("""COMPUTED_VALUE"""),37494.0)</f>
        <v>37494</v>
      </c>
      <c r="C181" s="8" t="str">
        <f>IFERROR(__xludf.DUMMYFUNCTION("""COMPUTED_VALUE"""),"06466793338")</f>
        <v>06466793338</v>
      </c>
    </row>
    <row r="182">
      <c r="A182" s="8" t="str">
        <f>IFERROR(__xludf.DUMMYFUNCTION("""COMPUTED_VALUE"""),"Kamylle Cerqueira Assad")</f>
        <v>Kamylle Cerqueira Assad</v>
      </c>
      <c r="B182" s="49">
        <f>IFERROR(__xludf.DUMMYFUNCTION("""COMPUTED_VALUE"""),37804.0)</f>
        <v>37804</v>
      </c>
      <c r="C182" s="8" t="str">
        <f>IFERROR(__xludf.DUMMYFUNCTION("""COMPUTED_VALUE"""),"02950702503")</f>
        <v>02950702503</v>
      </c>
    </row>
    <row r="183">
      <c r="A183" s="8" t="str">
        <f>IFERROR(__xludf.DUMMYFUNCTION("""COMPUTED_VALUE"""),"Rodrigo Santos Higino")</f>
        <v>Rodrigo Santos Higino</v>
      </c>
      <c r="B183" s="49">
        <f>IFERROR(__xludf.DUMMYFUNCTION("""COMPUTED_VALUE"""),37027.0)</f>
        <v>37027</v>
      </c>
      <c r="C183" s="8" t="str">
        <f>IFERROR(__xludf.DUMMYFUNCTION("""COMPUTED_VALUE"""),"094.499.765-11")</f>
        <v>094.499.765-11</v>
      </c>
    </row>
    <row r="184">
      <c r="A184" s="8" t="str">
        <f>IFERROR(__xludf.DUMMYFUNCTION("""COMPUTED_VALUE"""),"Gabriel do Nascimento Miranda Santos ")</f>
        <v>Gabriel do Nascimento Miranda Santos </v>
      </c>
      <c r="B184" s="49">
        <f>IFERROR(__xludf.DUMMYFUNCTION("""COMPUTED_VALUE"""),40115.0)</f>
        <v>40115</v>
      </c>
      <c r="C184" s="8" t="str">
        <f>IFERROR(__xludf.DUMMYFUNCTION("""COMPUTED_VALUE"""),"127.468.255-03 ")</f>
        <v>127.468.255-03 </v>
      </c>
    </row>
    <row r="185">
      <c r="A185" s="8" t="str">
        <f>IFERROR(__xludf.DUMMYFUNCTION("""COMPUTED_VALUE"""),"Danilo dos Santos Oliveira")</f>
        <v>Danilo dos Santos Oliveira</v>
      </c>
      <c r="B185" s="49">
        <f>IFERROR(__xludf.DUMMYFUNCTION("""COMPUTED_VALUE"""),34001.0)</f>
        <v>34001</v>
      </c>
      <c r="C185" s="8">
        <f>IFERROR(__xludf.DUMMYFUNCTION("""COMPUTED_VALUE"""),4.0493035826E10)</f>
        <v>40493035826</v>
      </c>
    </row>
    <row r="186">
      <c r="A186" s="8" t="str">
        <f>IFERROR(__xludf.DUMMYFUNCTION("""COMPUTED_VALUE"""),"Jair de Oliveira Pereira")</f>
        <v>Jair de Oliveira Pereira</v>
      </c>
      <c r="B186" s="49">
        <f>IFERROR(__xludf.DUMMYFUNCTION("""COMPUTED_VALUE"""),26914.0)</f>
        <v>26914</v>
      </c>
      <c r="C186" s="8">
        <f>IFERROR(__xludf.DUMMYFUNCTION("""COMPUTED_VALUE"""),9.3884710915E10)</f>
        <v>93884710915</v>
      </c>
    </row>
    <row r="187">
      <c r="A187" s="8" t="str">
        <f>IFERROR(__xludf.DUMMYFUNCTION("""COMPUTED_VALUE"""),"Camila Araujo Rodrigues")</f>
        <v>Camila Araujo Rodrigues</v>
      </c>
      <c r="B187" s="49">
        <f>IFERROR(__xludf.DUMMYFUNCTION("""COMPUTED_VALUE"""),30965.0)</f>
        <v>30965</v>
      </c>
      <c r="C187" s="8" t="str">
        <f>IFERROR(__xludf.DUMMYFUNCTION("""COMPUTED_VALUE"""),"216.106.648-09")</f>
        <v>216.106.648-09</v>
      </c>
    </row>
    <row r="188">
      <c r="A188" s="8" t="str">
        <f>IFERROR(__xludf.DUMMYFUNCTION("""COMPUTED_VALUE"""),"Arthur Rodrigues dos Reis")</f>
        <v>Arthur Rodrigues dos Reis</v>
      </c>
      <c r="B188" s="49">
        <f>IFERROR(__xludf.DUMMYFUNCTION("""COMPUTED_VALUE"""),42691.0)</f>
        <v>42691</v>
      </c>
      <c r="C188" s="8" t="str">
        <f>IFERROR(__xludf.DUMMYFUNCTION("""COMPUTED_VALUE"""),"520.318.248-56")</f>
        <v>520.318.248-56</v>
      </c>
    </row>
    <row r="189">
      <c r="A189" s="8" t="str">
        <f>IFERROR(__xludf.DUMMYFUNCTION("""COMPUTED_VALUE"""),"Michel Moreira dos Reis")</f>
        <v>Michel Moreira dos Reis</v>
      </c>
      <c r="B189" s="49">
        <f>IFERROR(__xludf.DUMMYFUNCTION("""COMPUTED_VALUE"""),31078.0)</f>
        <v>31078</v>
      </c>
      <c r="C189" s="8" t="str">
        <f>IFERROR(__xludf.DUMMYFUNCTION("""COMPUTED_VALUE"""),"340.010.098-62")</f>
        <v>340.010.098-62</v>
      </c>
    </row>
    <row r="190">
      <c r="A190" s="8" t="str">
        <f>IFERROR(__xludf.DUMMYFUNCTION("""COMPUTED_VALUE"""),"Maria de Fatima Araujo Rodrigues")</f>
        <v>Maria de Fatima Araujo Rodrigues</v>
      </c>
      <c r="B190" s="49">
        <f>IFERROR(__xludf.DUMMYFUNCTION("""COMPUTED_VALUE"""),21402.0)</f>
        <v>21402</v>
      </c>
      <c r="C190" s="8" t="str">
        <f>IFERROR(__xludf.DUMMYFUNCTION("""COMPUTED_VALUE"""),"021.948.888-61")</f>
        <v>021.948.888-61</v>
      </c>
    </row>
    <row r="191">
      <c r="A191" s="8" t="str">
        <f>IFERROR(__xludf.DUMMYFUNCTION("""COMPUTED_VALUE"""),"Vanessa Moscan da Silva")</f>
        <v>Vanessa Moscan da Silva</v>
      </c>
      <c r="B191" s="49">
        <f>IFERROR(__xludf.DUMMYFUNCTION("""COMPUTED_VALUE"""),29909.0)</f>
        <v>29909</v>
      </c>
      <c r="C191" s="8">
        <f>IFERROR(__xludf.DUMMYFUNCTION("""COMPUTED_VALUE"""),2.9583758892E10)</f>
        <v>29583758892</v>
      </c>
    </row>
    <row r="192">
      <c r="A192" s="8" t="str">
        <f>IFERROR(__xludf.DUMMYFUNCTION("""COMPUTED_VALUE"""),"Gisele Braga Castro")</f>
        <v>Gisele Braga Castro</v>
      </c>
      <c r="B192" s="49">
        <f>IFERROR(__xludf.DUMMYFUNCTION("""COMPUTED_VALUE"""),36802.0)</f>
        <v>36802</v>
      </c>
      <c r="C192" s="8" t="str">
        <f>IFERROR(__xludf.DUMMYFUNCTION("""COMPUTED_VALUE"""),"056.978.393-32 ")</f>
        <v>056.978.393-32 </v>
      </c>
    </row>
    <row r="193">
      <c r="A193" s="8" t="str">
        <f>IFERROR(__xludf.DUMMYFUNCTION("""COMPUTED_VALUE"""),"Anna Carolina Carbonaro dos Santos Cassoli")</f>
        <v>Anna Carolina Carbonaro dos Santos Cassoli</v>
      </c>
      <c r="B193" s="49">
        <f>IFERROR(__xludf.DUMMYFUNCTION("""COMPUTED_VALUE"""),29597.0)</f>
        <v>29597</v>
      </c>
      <c r="C193" s="8" t="str">
        <f>IFERROR(__xludf.DUMMYFUNCTION("""COMPUTED_VALUE"""),"03407429924")</f>
        <v>03407429924</v>
      </c>
    </row>
    <row r="194">
      <c r="A194" s="8" t="str">
        <f>IFERROR(__xludf.DUMMYFUNCTION("""COMPUTED_VALUE"""),"Ana Lúcia Ferreira de Carvalho Miola ")</f>
        <v>Ana Lúcia Ferreira de Carvalho Miola </v>
      </c>
      <c r="B194" s="49">
        <f>IFERROR(__xludf.DUMMYFUNCTION("""COMPUTED_VALUE"""),26040.0)</f>
        <v>26040</v>
      </c>
      <c r="C194" s="8" t="str">
        <f>IFERROR(__xludf.DUMMYFUNCTION("""COMPUTED_VALUE"""),"574.839.811-72 ")</f>
        <v>574.839.811-72 </v>
      </c>
    </row>
    <row r="195">
      <c r="A195" s="8" t="str">
        <f>IFERROR(__xludf.DUMMYFUNCTION("""COMPUTED_VALUE"""),"José Roberto Miola")</f>
        <v>José Roberto Miola</v>
      </c>
      <c r="B195" s="49">
        <f>IFERROR(__xludf.DUMMYFUNCTION("""COMPUTED_VALUE"""),19516.0)</f>
        <v>19516</v>
      </c>
      <c r="C195" s="8">
        <f>IFERROR(__xludf.DUMMYFUNCTION("""COMPUTED_VALUE"""),3.96469558E10)</f>
        <v>39646955800</v>
      </c>
    </row>
    <row r="196">
      <c r="A196" s="8" t="str">
        <f>IFERROR(__xludf.DUMMYFUNCTION("""COMPUTED_VALUE"""),"Wallace Fabiano Cassoli ")</f>
        <v>Wallace Fabiano Cassoli </v>
      </c>
      <c r="B196" s="49">
        <f>IFERROR(__xludf.DUMMYFUNCTION("""COMPUTED_VALUE"""),27907.0)</f>
        <v>27907</v>
      </c>
      <c r="C196" s="8" t="str">
        <f>IFERROR(__xludf.DUMMYFUNCTION("""COMPUTED_VALUE"""),"00692987932")</f>
        <v>00692987932</v>
      </c>
    </row>
    <row r="197">
      <c r="A197" s="8" t="str">
        <f>IFERROR(__xludf.DUMMYFUNCTION("""COMPUTED_VALUE"""),"Eduardo Augusto Zanom ")</f>
        <v>Eduardo Augusto Zanom </v>
      </c>
      <c r="B197" s="49">
        <f>IFERROR(__xludf.DUMMYFUNCTION("""COMPUTED_VALUE"""),31203.0)</f>
        <v>31203</v>
      </c>
      <c r="C197" s="8" t="str">
        <f>IFERROR(__xludf.DUMMYFUNCTION("""COMPUTED_VALUE"""),"337.755.028-31")</f>
        <v>337.755.028-31</v>
      </c>
    </row>
    <row r="198">
      <c r="A198" s="8" t="str">
        <f>IFERROR(__xludf.DUMMYFUNCTION("""COMPUTED_VALUE"""),"Amanda Couto Silva ")</f>
        <v>Amanda Couto Silva </v>
      </c>
      <c r="B198" s="49">
        <f>IFERROR(__xludf.DUMMYFUNCTION("""COMPUTED_VALUE"""),35859.0)</f>
        <v>35859</v>
      </c>
      <c r="C198" s="8" t="str">
        <f>IFERROR(__xludf.DUMMYFUNCTION("""COMPUTED_VALUE"""),"073.557.725-03")</f>
        <v>073.557.725-03</v>
      </c>
    </row>
    <row r="199">
      <c r="A199" s="8" t="str">
        <f>IFERROR(__xludf.DUMMYFUNCTION("""COMPUTED_VALUE"""),"Monique Gonçalves Bastos ")</f>
        <v>Monique Gonçalves Bastos </v>
      </c>
      <c r="B199" s="49">
        <f>IFERROR(__xludf.DUMMYFUNCTION("""COMPUTED_VALUE"""),37006.0)</f>
        <v>37006</v>
      </c>
      <c r="C199" s="8">
        <f>IFERROR(__xludf.DUMMYFUNCTION("""COMPUTED_VALUE"""),8.6457212522E10)</f>
        <v>86457212522</v>
      </c>
    </row>
    <row r="200">
      <c r="A200" s="8" t="str">
        <f>IFERROR(__xludf.DUMMYFUNCTION("""COMPUTED_VALUE"""),"Normando Lima Cavalcante Filho")</f>
        <v>Normando Lima Cavalcante Filho</v>
      </c>
      <c r="B200" s="49">
        <f>IFERROR(__xludf.DUMMYFUNCTION("""COMPUTED_VALUE"""),35997.0)</f>
        <v>35997</v>
      </c>
      <c r="C200" s="8" t="str">
        <f>IFERROR(__xludf.DUMMYFUNCTION("""COMPUTED_VALUE"""),"07400095323")</f>
        <v>07400095323</v>
      </c>
    </row>
    <row r="201">
      <c r="A201" s="8" t="str">
        <f>IFERROR(__xludf.DUMMYFUNCTION("""COMPUTED_VALUE"""),"Italo Lima da Silva ")</f>
        <v>Italo Lima da Silva </v>
      </c>
      <c r="B201" s="49">
        <f>IFERROR(__xludf.DUMMYFUNCTION("""COMPUTED_VALUE"""),38648.0)</f>
        <v>38648</v>
      </c>
      <c r="C201" s="8">
        <f>IFERROR(__xludf.DUMMYFUNCTION("""COMPUTED_VALUE"""),1.0085684309E10)</f>
        <v>10085684309</v>
      </c>
    </row>
    <row r="202">
      <c r="A202" s="8" t="str">
        <f>IFERROR(__xludf.DUMMYFUNCTION("""COMPUTED_VALUE"""),"Vera Lucia Barreto de Almeida Legg")</f>
        <v>Vera Lucia Barreto de Almeida Legg</v>
      </c>
      <c r="B202" s="49">
        <f>IFERROR(__xludf.DUMMYFUNCTION("""COMPUTED_VALUE"""),22757.0)</f>
        <v>22757</v>
      </c>
      <c r="C202" s="8" t="str">
        <f>IFERROR(__xludf.DUMMYFUNCTION("""COMPUTED_VALUE"""),"040.842.328-58")</f>
        <v>040.842.328-58</v>
      </c>
    </row>
    <row r="203">
      <c r="A203" s="8" t="str">
        <f>IFERROR(__xludf.DUMMYFUNCTION("""COMPUTED_VALUE"""),"Maria Mildes de Almeida")</f>
        <v>Maria Mildes de Almeida</v>
      </c>
      <c r="B203" s="49">
        <f>IFERROR(__xludf.DUMMYFUNCTION("""COMPUTED_VALUE"""),15169.0)</f>
        <v>15169</v>
      </c>
      <c r="C203" s="8" t="str">
        <f>IFERROR(__xludf.DUMMYFUNCTION("""COMPUTED_VALUE"""),"049.215.238-19")</f>
        <v>049.215.238-19</v>
      </c>
    </row>
    <row r="204">
      <c r="A204" s="8" t="str">
        <f>IFERROR(__xludf.DUMMYFUNCTION("""COMPUTED_VALUE"""),"Luis Carlos Alves magno dos santos ")</f>
        <v>Luis Carlos Alves magno dos santos </v>
      </c>
      <c r="B204" s="49">
        <f>IFERROR(__xludf.DUMMYFUNCTION("""COMPUTED_VALUE"""),25740.0)</f>
        <v>25740</v>
      </c>
      <c r="C204" s="8">
        <f>IFERROR(__xludf.DUMMYFUNCTION("""COMPUTED_VALUE"""),3.0360025889E10)</f>
        <v>30360025889</v>
      </c>
    </row>
    <row r="205">
      <c r="A205" s="8" t="str">
        <f>IFERROR(__xludf.DUMMYFUNCTION("""COMPUTED_VALUE"""),"Phablo Evaristo Pires Vieira ")</f>
        <v>Phablo Evaristo Pires Vieira </v>
      </c>
      <c r="B205" s="49">
        <f>IFERROR(__xludf.DUMMYFUNCTION("""COMPUTED_VALUE"""),37008.0)</f>
        <v>37008</v>
      </c>
      <c r="C205" s="8">
        <f>IFERROR(__xludf.DUMMYFUNCTION("""COMPUTED_VALUE"""),4.3208679807E10)</f>
        <v>43208679807</v>
      </c>
    </row>
    <row r="206">
      <c r="A206" s="8" t="str">
        <f>IFERROR(__xludf.DUMMYFUNCTION("""COMPUTED_VALUE"""),"Gabriela Talita De Oliveira Almeida")</f>
        <v>Gabriela Talita De Oliveira Almeida</v>
      </c>
      <c r="B206" s="49">
        <f>IFERROR(__xludf.DUMMYFUNCTION("""COMPUTED_VALUE"""),36900.0)</f>
        <v>36900</v>
      </c>
      <c r="C206" s="8">
        <f>IFERROR(__xludf.DUMMYFUNCTION("""COMPUTED_VALUE"""),4.3726111883E10)</f>
        <v>43726111883</v>
      </c>
    </row>
    <row r="207">
      <c r="A207" s="8" t="str">
        <f>IFERROR(__xludf.DUMMYFUNCTION("""COMPUTED_VALUE"""),"Graziela Milena Batista Bracco")</f>
        <v>Graziela Milena Batista Bracco</v>
      </c>
      <c r="B207" s="49">
        <f>IFERROR(__xludf.DUMMYFUNCTION("""COMPUTED_VALUE"""),26864.0)</f>
        <v>26864</v>
      </c>
      <c r="C207" s="8">
        <f>IFERROR(__xludf.DUMMYFUNCTION("""COMPUTED_VALUE"""),2.869460686E10)</f>
        <v>28694606860</v>
      </c>
    </row>
    <row r="208">
      <c r="A208" s="8" t="str">
        <f>IFERROR(__xludf.DUMMYFUNCTION("""COMPUTED_VALUE"""),"Patrick Formentini Fernandes da Costa")</f>
        <v>Patrick Formentini Fernandes da Costa</v>
      </c>
      <c r="B208" s="49">
        <f>IFERROR(__xludf.DUMMYFUNCTION("""COMPUTED_VALUE"""),31869.0)</f>
        <v>31869</v>
      </c>
      <c r="C208" s="8">
        <f>IFERROR(__xludf.DUMMYFUNCTION("""COMPUTED_VALUE"""),5.2947360206E10)</f>
        <v>52947360206</v>
      </c>
    </row>
    <row r="209">
      <c r="A209" s="8" t="str">
        <f>IFERROR(__xludf.DUMMYFUNCTION("""COMPUTED_VALUE"""),"Astromar MIranda Braga")</f>
        <v>Astromar MIranda Braga</v>
      </c>
      <c r="B209" s="49">
        <f>IFERROR(__xludf.DUMMYFUNCTION("""COMPUTED_VALUE"""),24010.0)</f>
        <v>24010</v>
      </c>
      <c r="C209" s="8" t="str">
        <f>IFERROR(__xludf.DUMMYFUNCTION("""COMPUTED_VALUE"""),"06988961810")</f>
        <v>06988961810</v>
      </c>
    </row>
    <row r="210">
      <c r="A210" s="8" t="str">
        <f>IFERROR(__xludf.DUMMYFUNCTION("""COMPUTED_VALUE"""),"Edson José Oriolo dos Santos")</f>
        <v>Edson José Oriolo dos Santos</v>
      </c>
      <c r="B210" s="49">
        <f>IFERROR(__xludf.DUMMYFUNCTION("""COMPUTED_VALUE"""),23638.0)</f>
        <v>23638</v>
      </c>
      <c r="C210" s="8">
        <f>IFERROR(__xludf.DUMMYFUNCTION("""COMPUTED_VALUE"""),4.6137360644E10)</f>
        <v>46137360644</v>
      </c>
    </row>
    <row r="211">
      <c r="A211" s="8" t="str">
        <f>IFERROR(__xludf.DUMMYFUNCTION("""COMPUTED_VALUE"""),"José Carlos Ferreira da Silva ")</f>
        <v>José Carlos Ferreira da Silva </v>
      </c>
      <c r="B211" s="49">
        <f>IFERROR(__xludf.DUMMYFUNCTION("""COMPUTED_VALUE"""),25763.0)</f>
        <v>25763</v>
      </c>
      <c r="C211" s="8">
        <f>IFERROR(__xludf.DUMMYFUNCTION("""COMPUTED_VALUE"""),9.9443384787E10)</f>
        <v>99443384787</v>
      </c>
    </row>
    <row r="212">
      <c r="A212" s="8" t="str">
        <f>IFERROR(__xludf.DUMMYFUNCTION("""COMPUTED_VALUE"""),"Andréa Lima dos Santos Silva")</f>
        <v>Andréa Lima dos Santos Silva</v>
      </c>
      <c r="B212" s="49">
        <f>IFERROR(__xludf.DUMMYFUNCTION("""COMPUTED_VALUE"""),30143.0)</f>
        <v>30143</v>
      </c>
      <c r="C212" s="8">
        <f>IFERROR(__xludf.DUMMYFUNCTION("""COMPUTED_VALUE"""),3.0719870801E10)</f>
        <v>30719870801</v>
      </c>
    </row>
    <row r="213">
      <c r="A213" s="8" t="str">
        <f>IFERROR(__xludf.DUMMYFUNCTION("""COMPUTED_VALUE"""),"Hormezindo Mariano Da Silva Neto")</f>
        <v>Hormezindo Mariano Da Silva Neto</v>
      </c>
      <c r="B213" s="49">
        <f>IFERROR(__xludf.DUMMYFUNCTION("""COMPUTED_VALUE"""),28993.0)</f>
        <v>28993</v>
      </c>
      <c r="C213" s="8">
        <f>IFERROR(__xludf.DUMMYFUNCTION("""COMPUTED_VALUE"""),3.0142268828E10)</f>
        <v>30142268828</v>
      </c>
    </row>
    <row r="214">
      <c r="A214" s="8" t="str">
        <f>IFERROR(__xludf.DUMMYFUNCTION("""COMPUTED_VALUE"""),"Miguel Cerqueira Mendes Beto Góes")</f>
        <v>Miguel Cerqueira Mendes Beto Góes</v>
      </c>
      <c r="B214" s="49">
        <f>IFERROR(__xludf.DUMMYFUNCTION("""COMPUTED_VALUE"""),39728.0)</f>
        <v>39728</v>
      </c>
      <c r="C214" s="8">
        <f>IFERROR(__xludf.DUMMYFUNCTION("""COMPUTED_VALUE"""),8.6059217575E10)</f>
        <v>86059217575</v>
      </c>
    </row>
    <row r="215">
      <c r="A215" s="8" t="str">
        <f>IFERROR(__xludf.DUMMYFUNCTION("""COMPUTED_VALUE"""),"Rafael Augusto da Fonseca Larocca")</f>
        <v>Rafael Augusto da Fonseca Larocca</v>
      </c>
      <c r="B215" s="49">
        <f>IFERROR(__xludf.DUMMYFUNCTION("""COMPUTED_VALUE"""),34132.0)</f>
        <v>34132</v>
      </c>
      <c r="C215" s="8" t="str">
        <f>IFERROR(__xludf.DUMMYFUNCTION("""COMPUTED_VALUE"""),"08610178978")</f>
        <v>08610178978</v>
      </c>
    </row>
    <row r="216">
      <c r="A216" s="8" t="str">
        <f>IFERROR(__xludf.DUMMYFUNCTION("""COMPUTED_VALUE"""),"Marianna Nery da Silva")</f>
        <v>Marianna Nery da Silva</v>
      </c>
      <c r="B216" s="49">
        <f>IFERROR(__xludf.DUMMYFUNCTION("""COMPUTED_VALUE"""),38205.0)</f>
        <v>38205</v>
      </c>
      <c r="C216" s="8" t="str">
        <f>IFERROR(__xludf.DUMMYFUNCTION("""COMPUTED_VALUE"""),"08856148528")</f>
        <v>08856148528</v>
      </c>
    </row>
    <row r="217">
      <c r="A217" s="8" t="str">
        <f>IFERROR(__xludf.DUMMYFUNCTION("""COMPUTED_VALUE"""),"Rafael Andrade Rodrigues ")</f>
        <v>Rafael Andrade Rodrigues </v>
      </c>
      <c r="B217" s="49">
        <f>IFERROR(__xludf.DUMMYFUNCTION("""COMPUTED_VALUE"""),36336.0)</f>
        <v>36336</v>
      </c>
      <c r="C217" s="8">
        <f>IFERROR(__xludf.DUMMYFUNCTION("""COMPUTED_VALUE"""),4.4089794811E10)</f>
        <v>44089794811</v>
      </c>
    </row>
    <row r="218">
      <c r="A218" s="8" t="str">
        <f>IFERROR(__xludf.DUMMYFUNCTION("""COMPUTED_VALUE"""),"Fernando welzel")</f>
        <v>Fernando welzel</v>
      </c>
      <c r="B218" s="49">
        <f>IFERROR(__xludf.DUMMYFUNCTION("""COMPUTED_VALUE"""),35977.0)</f>
        <v>35977</v>
      </c>
      <c r="C218" s="8">
        <f>IFERROR(__xludf.DUMMYFUNCTION("""COMPUTED_VALUE"""),1.055331999E10)</f>
        <v>10553319990</v>
      </c>
    </row>
    <row r="219">
      <c r="A219" s="8" t="str">
        <f>IFERROR(__xludf.DUMMYFUNCTION("""COMPUTED_VALUE"""),"Larissa Marcela pereira")</f>
        <v>Larissa Marcela pereira</v>
      </c>
      <c r="B219" s="49">
        <f>IFERROR(__xludf.DUMMYFUNCTION("""COMPUTED_VALUE"""),36084.0)</f>
        <v>36084</v>
      </c>
      <c r="C219" s="8">
        <f>IFERROR(__xludf.DUMMYFUNCTION("""COMPUTED_VALUE"""),1.0568649907E10)</f>
        <v>10568649907</v>
      </c>
    </row>
    <row r="220">
      <c r="A220" s="8" t="str">
        <f>IFERROR(__xludf.DUMMYFUNCTION("""COMPUTED_VALUE"""),"Vitoria Elisabeth Leonel Fernandes ")</f>
        <v>Vitoria Elisabeth Leonel Fernandes </v>
      </c>
      <c r="B220" s="49">
        <f>IFERROR(__xludf.DUMMYFUNCTION("""COMPUTED_VALUE"""),35857.0)</f>
        <v>35857</v>
      </c>
      <c r="C220" s="8">
        <f>IFERROR(__xludf.DUMMYFUNCTION("""COMPUTED_VALUE"""),1.0527455989E10)</f>
        <v>10527455989</v>
      </c>
    </row>
    <row r="221">
      <c r="A221" s="8" t="str">
        <f>IFERROR(__xludf.DUMMYFUNCTION("""COMPUTED_VALUE"""),"Leticia da Silva Santos ")</f>
        <v>Leticia da Silva Santos </v>
      </c>
      <c r="B221" s="49">
        <f>IFERROR(__xludf.DUMMYFUNCTION("""COMPUTED_VALUE"""),33612.0)</f>
        <v>33612</v>
      </c>
      <c r="C221" s="8">
        <f>IFERROR(__xludf.DUMMYFUNCTION("""COMPUTED_VALUE"""),3.5943189823E10)</f>
        <v>35943189823</v>
      </c>
    </row>
    <row r="222">
      <c r="A222" s="8" t="str">
        <f>IFERROR(__xludf.DUMMYFUNCTION("""COMPUTED_VALUE"""),"Claudiana Oliveira Marques")</f>
        <v>Claudiana Oliveira Marques</v>
      </c>
      <c r="B222" s="49">
        <f>IFERROR(__xludf.DUMMYFUNCTION("""COMPUTED_VALUE"""),33373.0)</f>
        <v>33373</v>
      </c>
      <c r="C222" s="8">
        <f>IFERROR(__xludf.DUMMYFUNCTION("""COMPUTED_VALUE"""),4.0454561806E10)</f>
        <v>40454561806</v>
      </c>
    </row>
    <row r="223">
      <c r="A223" s="8" t="str">
        <f>IFERROR(__xludf.DUMMYFUNCTION("""COMPUTED_VALUE"""),"Noah Marques Pereira ")</f>
        <v>Noah Marques Pereira </v>
      </c>
      <c r="B223" s="49">
        <f>IFERROR(__xludf.DUMMYFUNCTION("""COMPUTED_VALUE"""),43770.0)</f>
        <v>43770</v>
      </c>
      <c r="C223" s="8">
        <f>IFERROR(__xludf.DUMMYFUNCTION("""COMPUTED_VALUE"""),5.7880059814E10)</f>
        <v>57880059814</v>
      </c>
    </row>
    <row r="224">
      <c r="A224" s="8" t="str">
        <f>IFERROR(__xludf.DUMMYFUNCTION("""COMPUTED_VALUE"""),"José Fernando Pereira da Silva ")</f>
        <v>José Fernando Pereira da Silva </v>
      </c>
      <c r="B224" s="49">
        <f>IFERROR(__xludf.DUMMYFUNCTION("""COMPUTED_VALUE"""),25222.0)</f>
        <v>25222</v>
      </c>
      <c r="C224" s="8">
        <f>IFERROR(__xludf.DUMMYFUNCTION("""COMPUTED_VALUE"""),1.247882381E10)</f>
        <v>12478823810</v>
      </c>
    </row>
    <row r="225">
      <c r="A225" s="8" t="str">
        <f>IFERROR(__xludf.DUMMYFUNCTION("""COMPUTED_VALUE"""),"Valentina Fernandes Marques ")</f>
        <v>Valentina Fernandes Marques </v>
      </c>
      <c r="B225" s="49">
        <f>IFERROR(__xludf.DUMMYFUNCTION("""COMPUTED_VALUE"""),43820.0)</f>
        <v>43820</v>
      </c>
      <c r="C225" s="8">
        <f>IFERROR(__xludf.DUMMYFUNCTION("""COMPUTED_VALUE"""),5.8047944852E10)</f>
        <v>58047944852</v>
      </c>
    </row>
    <row r="226">
      <c r="A226" s="8" t="str">
        <f>IFERROR(__xludf.DUMMYFUNCTION("""COMPUTED_VALUE"""),"Tatiane Macedo de Oliveira ")</f>
        <v>Tatiane Macedo de Oliveira </v>
      </c>
      <c r="B226" s="49">
        <f>IFERROR(__xludf.DUMMYFUNCTION("""COMPUTED_VALUE"""),31146.0)</f>
        <v>31146</v>
      </c>
      <c r="C226" s="8">
        <f>IFERROR(__xludf.DUMMYFUNCTION("""COMPUTED_VALUE"""),3.4227271835E10)</f>
        <v>34227271835</v>
      </c>
    </row>
    <row r="227">
      <c r="A227" s="8" t="str">
        <f>IFERROR(__xludf.DUMMYFUNCTION("""COMPUTED_VALUE"""),"Barbara das Graças Pinto ")</f>
        <v>Barbara das Graças Pinto </v>
      </c>
      <c r="B227" s="49">
        <f>IFERROR(__xludf.DUMMYFUNCTION("""COMPUTED_VALUE"""),30470.0)</f>
        <v>30470</v>
      </c>
      <c r="C227" s="8">
        <f>IFERROR(__xludf.DUMMYFUNCTION("""COMPUTED_VALUE"""),2.2004278838E10)</f>
        <v>22004278838</v>
      </c>
    </row>
    <row r="228">
      <c r="A228" s="8" t="str">
        <f>IFERROR(__xludf.DUMMYFUNCTION("""COMPUTED_VALUE"""),"Raissa Freire Bach ")</f>
        <v>Raissa Freire Bach </v>
      </c>
      <c r="B228" s="49">
        <f>IFERROR(__xludf.DUMMYFUNCTION("""COMPUTED_VALUE"""),37836.0)</f>
        <v>37836</v>
      </c>
      <c r="C228" s="8">
        <f>IFERROR(__xludf.DUMMYFUNCTION("""COMPUTED_VALUE"""),1.3207230989E10)</f>
        <v>13207230989</v>
      </c>
    </row>
    <row r="229">
      <c r="A229" s="8" t="str">
        <f>IFERROR(__xludf.DUMMYFUNCTION("""COMPUTED_VALUE"""),"Amanda Macedo Domingues ")</f>
        <v>Amanda Macedo Domingues </v>
      </c>
      <c r="B229" s="49">
        <f>IFERROR(__xludf.DUMMYFUNCTION("""COMPUTED_VALUE"""),36139.0)</f>
        <v>36139</v>
      </c>
      <c r="C229" s="8">
        <f>IFERROR(__xludf.DUMMYFUNCTION("""COMPUTED_VALUE"""),5.0149941803E10)</f>
        <v>50149941803</v>
      </c>
    </row>
    <row r="230">
      <c r="A230" s="8" t="str">
        <f>IFERROR(__xludf.DUMMYFUNCTION("""COMPUTED_VALUE"""),"Alfredo Henrique Macedo Domingues ")</f>
        <v>Alfredo Henrique Macedo Domingues </v>
      </c>
      <c r="B230" s="49">
        <f>IFERROR(__xludf.DUMMYFUNCTION("""COMPUTED_VALUE"""),36633.0)</f>
        <v>36633</v>
      </c>
      <c r="C230" s="8">
        <f>IFERROR(__xludf.DUMMYFUNCTION("""COMPUTED_VALUE"""),4.8336986847E10)</f>
        <v>48336986847</v>
      </c>
    </row>
    <row r="231">
      <c r="A231" s="8" t="str">
        <f>IFERROR(__xludf.DUMMYFUNCTION("""COMPUTED_VALUE"""),"Jennifer Suyama Antunes ")</f>
        <v>Jennifer Suyama Antunes </v>
      </c>
      <c r="B231" s="49">
        <f>IFERROR(__xludf.DUMMYFUNCTION("""COMPUTED_VALUE"""),36621.0)</f>
        <v>36621</v>
      </c>
      <c r="C231" s="8">
        <f>IFERROR(__xludf.DUMMYFUNCTION("""COMPUTED_VALUE"""),4.8719712871E10)</f>
        <v>48719712871</v>
      </c>
    </row>
    <row r="232">
      <c r="A232" s="8" t="str">
        <f>IFERROR(__xludf.DUMMYFUNCTION("""COMPUTED_VALUE"""),"VANESSA VIDOVIX VIEIRA SILVA")</f>
        <v>VANESSA VIDOVIX VIEIRA SILVA</v>
      </c>
      <c r="B232" s="49">
        <f>IFERROR(__xludf.DUMMYFUNCTION("""COMPUTED_VALUE"""),34355.0)</f>
        <v>34355</v>
      </c>
      <c r="C232" s="8">
        <f>IFERROR(__xludf.DUMMYFUNCTION("""COMPUTED_VALUE"""),4.2654729826E10)</f>
        <v>42654729826</v>
      </c>
    </row>
    <row r="233">
      <c r="A233" s="8" t="str">
        <f>IFERROR(__xludf.DUMMYFUNCTION("""COMPUTED_VALUE"""),"Danilo José Valério Pires ")</f>
        <v>Danilo José Valério Pires </v>
      </c>
      <c r="B233" s="49">
        <f>IFERROR(__xludf.DUMMYFUNCTION("""COMPUTED_VALUE"""),33584.0)</f>
        <v>33584</v>
      </c>
      <c r="C233" s="8">
        <f>IFERROR(__xludf.DUMMYFUNCTION("""COMPUTED_VALUE"""),4.0279457863E10)</f>
        <v>40279457863</v>
      </c>
    </row>
    <row r="234">
      <c r="A234" s="8" t="str">
        <f>IFERROR(__xludf.DUMMYFUNCTION("""COMPUTED_VALUE"""),"Heloísa Vieira da Silva Pires ")</f>
        <v>Heloísa Vieira da Silva Pires </v>
      </c>
      <c r="B234" s="49">
        <f>IFERROR(__xludf.DUMMYFUNCTION("""COMPUTED_VALUE"""),43398.0)</f>
        <v>43398</v>
      </c>
      <c r="C234" s="8" t="str">
        <f>IFERROR(__xludf.DUMMYFUNCTION("""COMPUTED_VALUE"""),"559.775.938-80")</f>
        <v>559.775.938-80</v>
      </c>
    </row>
    <row r="235">
      <c r="A235" s="8" t="str">
        <f>IFERROR(__xludf.DUMMYFUNCTION("""COMPUTED_VALUE"""),"Helena Vieira da Silva Pires ")</f>
        <v>Helena Vieira da Silva Pires </v>
      </c>
      <c r="B235" s="49">
        <f>IFERROR(__xludf.DUMMYFUNCTION("""COMPUTED_VALUE"""),44832.0)</f>
        <v>44832</v>
      </c>
      <c r="C235" s="8" t="str">
        <f>IFERROR(__xludf.DUMMYFUNCTION("""COMPUTED_VALUE"""),"605.512.478-51")</f>
        <v>605.512.478-51</v>
      </c>
    </row>
    <row r="236">
      <c r="A236" s="8" t="str">
        <f>IFERROR(__xludf.DUMMYFUNCTION("""COMPUTED_VALUE"""),"Thaís Vieira da Conceição ")</f>
        <v>Thaís Vieira da Conceição </v>
      </c>
      <c r="B236" s="49">
        <f>IFERROR(__xludf.DUMMYFUNCTION("""COMPUTED_VALUE"""),35299.0)</f>
        <v>35299</v>
      </c>
      <c r="C236" s="8">
        <f>IFERROR(__xludf.DUMMYFUNCTION("""COMPUTED_VALUE"""),4.3497045829E10)</f>
        <v>43497045829</v>
      </c>
    </row>
    <row r="237">
      <c r="A237" s="8" t="str">
        <f>IFERROR(__xludf.DUMMYFUNCTION("""COMPUTED_VALUE"""),"Camila Vieira da Conceição ")</f>
        <v>Camila Vieira da Conceição </v>
      </c>
      <c r="B237" s="49">
        <f>IFERROR(__xludf.DUMMYFUNCTION("""COMPUTED_VALUE"""),37071.0)</f>
        <v>37071</v>
      </c>
      <c r="C237" s="8">
        <f>IFERROR(__xludf.DUMMYFUNCTION("""COMPUTED_VALUE"""),4.9241750804E10)</f>
        <v>49241750804</v>
      </c>
    </row>
    <row r="238">
      <c r="A238" s="8" t="str">
        <f>IFERROR(__xludf.DUMMYFUNCTION("""COMPUTED_VALUE"""),"Heitor Augusto Vieira de Freitas ")</f>
        <v>Heitor Augusto Vieira de Freitas </v>
      </c>
      <c r="B238" s="49">
        <f>IFERROR(__xludf.DUMMYFUNCTION("""COMPUTED_VALUE"""),44696.0)</f>
        <v>44696</v>
      </c>
      <c r="C238" s="8">
        <f>IFERROR(__xludf.DUMMYFUNCTION("""COMPUTED_VALUE"""),6.0279704801E10)</f>
        <v>60279704801</v>
      </c>
    </row>
    <row r="239">
      <c r="A239" s="8" t="str">
        <f>IFERROR(__xludf.DUMMYFUNCTION("""COMPUTED_VALUE"""),"Henrique Vieira de Freitas ")</f>
        <v>Henrique Vieira de Freitas </v>
      </c>
      <c r="B239" s="49">
        <f>IFERROR(__xludf.DUMMYFUNCTION("""COMPUTED_VALUE"""),45876.0)</f>
        <v>45876</v>
      </c>
      <c r="C239" s="8">
        <f>IFERROR(__xludf.DUMMYFUNCTION("""COMPUTED_VALUE"""),1.1893662829E10)</f>
        <v>11893662829</v>
      </c>
    </row>
    <row r="240">
      <c r="A240" s="8" t="str">
        <f>IFERROR(__xludf.DUMMYFUNCTION("""COMPUTED_VALUE"""),"Maria dos Santos")</f>
        <v>Maria dos Santos</v>
      </c>
      <c r="B240" s="49">
        <f>IFERROR(__xludf.DUMMYFUNCTION("""COMPUTED_VALUE"""),24413.0)</f>
        <v>24413</v>
      </c>
      <c r="C240" s="8">
        <f>IFERROR(__xludf.DUMMYFUNCTION("""COMPUTED_VALUE"""),1.5680577844E10)</f>
        <v>15680577844</v>
      </c>
    </row>
    <row r="241">
      <c r="A241" s="8" t="str">
        <f>IFERROR(__xludf.DUMMYFUNCTION("""COMPUTED_VALUE"""),"Elaine Cristina dos Santos Silva ")</f>
        <v>Elaine Cristina dos Santos Silva </v>
      </c>
      <c r="B241" s="49">
        <f>IFERROR(__xludf.DUMMYFUNCTION("""COMPUTED_VALUE"""),28063.0)</f>
        <v>28063</v>
      </c>
      <c r="C241" s="8">
        <f>IFERROR(__xludf.DUMMYFUNCTION("""COMPUTED_VALUE"""),2.6536367863E10)</f>
        <v>26536367863</v>
      </c>
    </row>
    <row r="242">
      <c r="A242" s="8" t="str">
        <f>IFERROR(__xludf.DUMMYFUNCTION("""COMPUTED_VALUE"""),"Valdemir Andrade silva ")</f>
        <v>Valdemir Andrade silva </v>
      </c>
      <c r="B242" s="49">
        <f>IFERROR(__xludf.DUMMYFUNCTION("""COMPUTED_VALUE"""),26242.0)</f>
        <v>26242</v>
      </c>
      <c r="C242" s="8">
        <f>IFERROR(__xludf.DUMMYFUNCTION("""COMPUTED_VALUE"""),1.2404081888E10)</f>
        <v>12404081888</v>
      </c>
    </row>
    <row r="243">
      <c r="A243" s="8" t="str">
        <f>IFERROR(__xludf.DUMMYFUNCTION("""COMPUTED_VALUE"""),"Abraão de Araújo Moura Silva")</f>
        <v>Abraão de Araújo Moura Silva</v>
      </c>
      <c r="B243" s="49">
        <f>IFERROR(__xludf.DUMMYFUNCTION("""COMPUTED_VALUE"""),32884.0)</f>
        <v>32884</v>
      </c>
      <c r="C243" s="8" t="str">
        <f>IFERROR(__xludf.DUMMYFUNCTION("""COMPUTED_VALUE"""),"02041365129")</f>
        <v>02041365129</v>
      </c>
    </row>
    <row r="244">
      <c r="A244" s="8" t="str">
        <f>IFERROR(__xludf.DUMMYFUNCTION("""COMPUTED_VALUE"""),"Ramilson do nascimento silva")</f>
        <v>Ramilson do nascimento silva</v>
      </c>
      <c r="B244" s="49">
        <f>IFERROR(__xludf.DUMMYFUNCTION("""COMPUTED_VALUE"""),30905.0)</f>
        <v>30905</v>
      </c>
      <c r="C244" s="8" t="str">
        <f>IFERROR(__xludf.DUMMYFUNCTION("""COMPUTED_VALUE"""),"012.590.734-67")</f>
        <v>012.590.734-67</v>
      </c>
    </row>
    <row r="245">
      <c r="A245" s="8" t="str">
        <f>IFERROR(__xludf.DUMMYFUNCTION("""COMPUTED_VALUE"""),"João Paulo Teixeira de Araújo Silva")</f>
        <v>João Paulo Teixeira de Araújo Silva</v>
      </c>
      <c r="B245" s="49">
        <f>IFERROR(__xludf.DUMMYFUNCTION("""COMPUTED_VALUE"""),44989.0)</f>
        <v>44989</v>
      </c>
      <c r="C245" s="8">
        <f>IFERROR(__xludf.DUMMYFUNCTION("""COMPUTED_VALUE"""),1.3169854585E10)</f>
        <v>13169854585</v>
      </c>
    </row>
    <row r="246">
      <c r="A246" s="8" t="str">
        <f>IFERROR(__xludf.DUMMYFUNCTION("""COMPUTED_VALUE"""),"Teresa Maria Chaves Braga Teixeira")</f>
        <v>Teresa Maria Chaves Braga Teixeira</v>
      </c>
      <c r="B246" s="49">
        <f>IFERROR(__xludf.DUMMYFUNCTION("""COMPUTED_VALUE"""),32590.0)</f>
        <v>32590</v>
      </c>
      <c r="C246" s="8" t="str">
        <f>IFERROR(__xludf.DUMMYFUNCTION("""COMPUTED_VALUE"""),"03526680329")</f>
        <v>03526680329</v>
      </c>
    </row>
    <row r="247">
      <c r="A247" s="8" t="str">
        <f>IFERROR(__xludf.DUMMYFUNCTION("""COMPUTED_VALUE"""),"Catarina Maria Teixeira de Araújo Silva")</f>
        <v>Catarina Maria Teixeira de Araújo Silva</v>
      </c>
      <c r="B247" s="49">
        <f>IFERROR(__xludf.DUMMYFUNCTION("""COMPUTED_VALUE"""),45560.0)</f>
        <v>45560</v>
      </c>
      <c r="C247" s="8">
        <f>IFERROR(__xludf.DUMMYFUNCTION("""COMPUTED_VALUE"""),1.3398802507E10)</f>
        <v>13398802507</v>
      </c>
    </row>
    <row r="248">
      <c r="A248" s="8" t="str">
        <f>IFERROR(__xludf.DUMMYFUNCTION("""COMPUTED_VALUE"""),"Isabella de Souza Norgang Belo ")</f>
        <v>Isabella de Souza Norgang Belo </v>
      </c>
      <c r="B248" s="49">
        <f>IFERROR(__xludf.DUMMYFUNCTION("""COMPUTED_VALUE"""),36823.0)</f>
        <v>36823</v>
      </c>
      <c r="C248" s="8">
        <f>IFERROR(__xludf.DUMMYFUNCTION("""COMPUTED_VALUE"""),4.9600205809E10)</f>
        <v>49600205809</v>
      </c>
    </row>
    <row r="249">
      <c r="A249" s="8" t="str">
        <f>IFERROR(__xludf.DUMMYFUNCTION("""COMPUTED_VALUE"""),"Gustavo Belo Lins de Araujo")</f>
        <v>Gustavo Belo Lins de Araujo</v>
      </c>
      <c r="B249" s="49">
        <f>IFERROR(__xludf.DUMMYFUNCTION("""COMPUTED_VALUE"""),36626.0)</f>
        <v>36626</v>
      </c>
      <c r="C249" s="8">
        <f>IFERROR(__xludf.DUMMYFUNCTION("""COMPUTED_VALUE"""),4.2788831889E10)</f>
        <v>42788831889</v>
      </c>
    </row>
    <row r="250">
      <c r="A250" s="8" t="str">
        <f>IFERROR(__xludf.DUMMYFUNCTION("""COMPUTED_VALUE"""),"Lucimar do nascimento silva")</f>
        <v>Lucimar do nascimento silva</v>
      </c>
      <c r="B250" s="49">
        <f>IFERROR(__xludf.DUMMYFUNCTION("""COMPUTED_VALUE"""),27572.0)</f>
        <v>27572</v>
      </c>
      <c r="C250" s="8">
        <f>IFERROR(__xludf.DUMMYFUNCTION("""COMPUTED_VALUE"""),3.4543148878E10)</f>
        <v>34543148878</v>
      </c>
    </row>
    <row r="251">
      <c r="A251" s="8" t="str">
        <f>IFERROR(__xludf.DUMMYFUNCTION("""COMPUTED_VALUE"""),"Jonathan Lucio Reis de Oliveira")</f>
        <v>Jonathan Lucio Reis de Oliveira</v>
      </c>
      <c r="B251" s="49">
        <f>IFERROR(__xludf.DUMMYFUNCTION("""COMPUTED_VALUE"""),32867.0)</f>
        <v>32867</v>
      </c>
      <c r="C251" s="8">
        <f>IFERROR(__xludf.DUMMYFUNCTION("""COMPUTED_VALUE"""),3.5542677835E10)</f>
        <v>35542677835</v>
      </c>
    </row>
    <row r="252">
      <c r="A252" s="8" t="str">
        <f>IFERROR(__xludf.DUMMYFUNCTION("""COMPUTED_VALUE"""),"Thais Chavier Mendes")</f>
        <v>Thais Chavier Mendes</v>
      </c>
      <c r="B252" s="49">
        <f>IFERROR(__xludf.DUMMYFUNCTION("""COMPUTED_VALUE"""),34255.0)</f>
        <v>34255</v>
      </c>
      <c r="C252" s="8">
        <f>IFERROR(__xludf.DUMMYFUNCTION("""COMPUTED_VALUE"""),4.1353059898E10)</f>
        <v>41353059898</v>
      </c>
    </row>
    <row r="253">
      <c r="A253" s="8" t="str">
        <f>IFERROR(__xludf.DUMMYFUNCTION("""COMPUTED_VALUE"""),"Filomena Paula Pereira ")</f>
        <v>Filomena Paula Pereira </v>
      </c>
      <c r="B253" s="49">
        <f>IFERROR(__xludf.DUMMYFUNCTION("""COMPUTED_VALUE"""),24850.0)</f>
        <v>24850</v>
      </c>
      <c r="C253" s="8">
        <f>IFERROR(__xludf.DUMMYFUNCTION("""COMPUTED_VALUE"""),5.97812624E10)</f>
        <v>59781262400</v>
      </c>
    </row>
    <row r="254">
      <c r="A254" s="8" t="str">
        <f>IFERROR(__xludf.DUMMYFUNCTION("""COMPUTED_VALUE"""),"Genildo Moreira Braga ")</f>
        <v>Genildo Moreira Braga </v>
      </c>
      <c r="B254" s="49">
        <f>IFERROR(__xludf.DUMMYFUNCTION("""COMPUTED_VALUE"""),24094.0)</f>
        <v>24094</v>
      </c>
      <c r="C254" s="8">
        <f>IFERROR(__xludf.DUMMYFUNCTION("""COMPUTED_VALUE"""),4.2835941568E10)</f>
        <v>42835941568</v>
      </c>
    </row>
    <row r="255">
      <c r="A255" s="8" t="str">
        <f>IFERROR(__xludf.DUMMYFUNCTION("""COMPUTED_VALUE"""),"Giovana tales da Silva ")</f>
        <v>Giovana tales da Silva </v>
      </c>
      <c r="B255" s="49">
        <f>IFERROR(__xludf.DUMMYFUNCTION("""COMPUTED_VALUE"""),26582.0)</f>
        <v>26582</v>
      </c>
      <c r="C255" s="8">
        <f>IFERROR(__xludf.DUMMYFUNCTION("""COMPUTED_VALUE"""),1.486182186E10)</f>
        <v>14861821860</v>
      </c>
    </row>
    <row r="256">
      <c r="A256" s="8" t="str">
        <f>IFERROR(__xludf.DUMMYFUNCTION("""COMPUTED_VALUE"""),"Fernanda Ravazi de Morais ")</f>
        <v>Fernanda Ravazi de Morais </v>
      </c>
      <c r="B256" s="49">
        <f>IFERROR(__xludf.DUMMYFUNCTION("""COMPUTED_VALUE"""),35211.0)</f>
        <v>35211</v>
      </c>
      <c r="C256" s="8">
        <f>IFERROR(__xludf.DUMMYFUNCTION("""COMPUTED_VALUE"""),4.4348069808E10)</f>
        <v>44348069808</v>
      </c>
    </row>
    <row r="257">
      <c r="A257" s="8" t="str">
        <f>IFERROR(__xludf.DUMMYFUNCTION("""COMPUTED_VALUE"""),"Sofía Serena Gonzalez Junior")</f>
        <v>Sofía Serena Gonzalez Junior</v>
      </c>
      <c r="B257" s="49">
        <f>IFERROR(__xludf.DUMMYFUNCTION("""COMPUTED_VALUE"""),37886.0)</f>
        <v>37886</v>
      </c>
      <c r="C257" s="8">
        <f>IFERROR(__xludf.DUMMYFUNCTION("""COMPUTED_VALUE"""),4.5077552E7)</f>
        <v>45077552</v>
      </c>
    </row>
    <row r="258">
      <c r="A258" s="8" t="str">
        <f>IFERROR(__xludf.DUMMYFUNCTION("""COMPUTED_VALUE"""),"Daniele Cristina Ribeiro Santos")</f>
        <v>Daniele Cristina Ribeiro Santos</v>
      </c>
      <c r="B258" s="49">
        <f>IFERROR(__xludf.DUMMYFUNCTION("""COMPUTED_VALUE"""),33236.0)</f>
        <v>33236</v>
      </c>
      <c r="C258" s="8" t="str">
        <f>IFERROR(__xludf.DUMMYFUNCTION("""COMPUTED_VALUE"""),"05129083547")</f>
        <v>05129083547</v>
      </c>
    </row>
    <row r="259">
      <c r="A259" s="8" t="str">
        <f>IFERROR(__xludf.DUMMYFUNCTION("""COMPUTED_VALUE"""),"Caio Meira Bastos ")</f>
        <v>Caio Meira Bastos </v>
      </c>
      <c r="B259" s="49">
        <f>IFERROR(__xludf.DUMMYFUNCTION("""COMPUTED_VALUE"""),35480.0)</f>
        <v>35480</v>
      </c>
      <c r="C259" s="8">
        <f>IFERROR(__xludf.DUMMYFUNCTION("""COMPUTED_VALUE"""),8.6232264533E10)</f>
        <v>86232264533</v>
      </c>
    </row>
    <row r="260">
      <c r="A260" s="8" t="str">
        <f>IFERROR(__xludf.DUMMYFUNCTION("""COMPUTED_VALUE"""),"Bruna Salvador Novaes Neto ")</f>
        <v>Bruna Salvador Novaes Neto </v>
      </c>
      <c r="B260" s="49">
        <f>IFERROR(__xludf.DUMMYFUNCTION("""COMPUTED_VALUE"""),33520.0)</f>
        <v>33520</v>
      </c>
      <c r="C260" s="8">
        <f>IFERROR(__xludf.DUMMYFUNCTION("""COMPUTED_VALUE"""),3.7694996897E10)</f>
        <v>37694996897</v>
      </c>
    </row>
    <row r="261">
      <c r="A261" s="8" t="str">
        <f>IFERROR(__xludf.DUMMYFUNCTION("""COMPUTED_VALUE"""),"Pedro Henrique de Morais")</f>
        <v>Pedro Henrique de Morais</v>
      </c>
      <c r="B261" s="49">
        <f>IFERROR(__xludf.DUMMYFUNCTION("""COMPUTED_VALUE"""),39718.0)</f>
        <v>39718</v>
      </c>
      <c r="C261" s="8">
        <f>IFERROR(__xludf.DUMMYFUNCTION("""COMPUTED_VALUE"""),5.1891380893E10)</f>
        <v>51891380893</v>
      </c>
    </row>
    <row r="262">
      <c r="A262" s="8" t="str">
        <f>IFERROR(__xludf.DUMMYFUNCTION("""COMPUTED_VALUE"""),"Vanda Lea Moreira")</f>
        <v>Vanda Lea Moreira</v>
      </c>
      <c r="B262" s="49">
        <f>IFERROR(__xludf.DUMMYFUNCTION("""COMPUTED_VALUE"""),21113.0)</f>
        <v>21113</v>
      </c>
      <c r="C262" s="8">
        <f>IFERROR(__xludf.DUMMYFUNCTION("""COMPUTED_VALUE"""),2.8410006804E10)</f>
        <v>28410006804</v>
      </c>
    </row>
    <row r="263">
      <c r="A263" s="8" t="str">
        <f>IFERROR(__xludf.DUMMYFUNCTION("""COMPUTED_VALUE"""),"ANDERSON DE SOUSA SANTOS")</f>
        <v>ANDERSON DE SOUSA SANTOS</v>
      </c>
      <c r="B263" s="49">
        <f>IFERROR(__xludf.DUMMYFUNCTION("""COMPUTED_VALUE"""),29672.0)</f>
        <v>29672</v>
      </c>
      <c r="C263" s="8">
        <f>IFERROR(__xludf.DUMMYFUNCTION("""COMPUTED_VALUE"""),2.830648889E10)</f>
        <v>28306488890</v>
      </c>
    </row>
    <row r="264">
      <c r="A264" s="8" t="str">
        <f>IFERROR(__xludf.DUMMYFUNCTION("""COMPUTED_VALUE"""),"CRISTIANE CARDOSO DOS SANTOS")</f>
        <v>CRISTIANE CARDOSO DOS SANTOS</v>
      </c>
      <c r="B264" s="49">
        <f>IFERROR(__xludf.DUMMYFUNCTION("""COMPUTED_VALUE"""),30087.0)</f>
        <v>30087</v>
      </c>
      <c r="C264" s="8">
        <f>IFERROR(__xludf.DUMMYFUNCTION("""COMPUTED_VALUE"""),3.1331948878E10)</f>
        <v>31331948878</v>
      </c>
    </row>
    <row r="265">
      <c r="A265" s="8" t="str">
        <f>IFERROR(__xludf.DUMMYFUNCTION("""COMPUTED_VALUE"""),"GABRIELLY SOFIA CARDOSO DE SOUSA SANTOS")</f>
        <v>GABRIELLY SOFIA CARDOSO DE SOUSA SANTOS</v>
      </c>
      <c r="B265" s="49">
        <f>IFERROR(__xludf.DUMMYFUNCTION("""COMPUTED_VALUE"""),42867.0)</f>
        <v>42867</v>
      </c>
      <c r="C265" s="8">
        <f>IFERROR(__xludf.DUMMYFUNCTION("""COMPUTED_VALUE"""),5.2959116836E10)</f>
        <v>52959116836</v>
      </c>
    </row>
    <row r="266">
      <c r="A266" s="8" t="str">
        <f>IFERROR(__xludf.DUMMYFUNCTION("""COMPUTED_VALUE"""),"ANNA LUCIA CARDOSO DE SOUSA SANTOS")</f>
        <v>ANNA LUCIA CARDOSO DE SOUSA SANTOS</v>
      </c>
      <c r="B266" s="49">
        <f>IFERROR(__xludf.DUMMYFUNCTION("""COMPUTED_VALUE"""),44406.0)</f>
        <v>44406</v>
      </c>
      <c r="C266" s="8">
        <f>IFERROR(__xludf.DUMMYFUNCTION("""COMPUTED_VALUE"""),5.9527665876E10)</f>
        <v>59527665876</v>
      </c>
    </row>
    <row r="267">
      <c r="A267" s="8" t="str">
        <f>IFERROR(__xludf.DUMMYFUNCTION("""COMPUTED_VALUE"""),"Vivian Serra de Menezes ")</f>
        <v>Vivian Serra de Menezes </v>
      </c>
      <c r="B267" s="49">
        <f>IFERROR(__xludf.DUMMYFUNCTION("""COMPUTED_VALUE"""),36208.0)</f>
        <v>36208</v>
      </c>
      <c r="C267" s="8" t="str">
        <f>IFERROR(__xludf.DUMMYFUNCTION("""COMPUTED_VALUE"""),"612.111.493-23")</f>
        <v>612.111.493-23</v>
      </c>
    </row>
    <row r="268">
      <c r="A268" s="8" t="str">
        <f>IFERROR(__xludf.DUMMYFUNCTION("""COMPUTED_VALUE"""),"Leozany Alves de Oliveira Santos ")</f>
        <v>Leozany Alves de Oliveira Santos </v>
      </c>
      <c r="B268" s="49">
        <f>IFERROR(__xludf.DUMMYFUNCTION("""COMPUTED_VALUE"""),28181.0)</f>
        <v>28181</v>
      </c>
      <c r="C268" s="8" t="str">
        <f>IFERROR(__xludf.DUMMYFUNCTION("""COMPUTED_VALUE"""),"02501568494")</f>
        <v>02501568494</v>
      </c>
    </row>
    <row r="269">
      <c r="A269" s="8" t="str">
        <f>IFERROR(__xludf.DUMMYFUNCTION("""COMPUTED_VALUE"""),"Diene do Espirito Santo Nunes ")</f>
        <v>Diene do Espirito Santo Nunes </v>
      </c>
      <c r="B269" s="49">
        <f>IFERROR(__xludf.DUMMYFUNCTION("""COMPUTED_VALUE"""),34123.0)</f>
        <v>34123</v>
      </c>
      <c r="C269" s="8" t="str">
        <f>IFERROR(__xludf.DUMMYFUNCTION("""COMPUTED_VALUE"""),"00673665208")</f>
        <v>00673665208</v>
      </c>
    </row>
    <row r="270">
      <c r="A270" s="8" t="str">
        <f>IFERROR(__xludf.DUMMYFUNCTION("""COMPUTED_VALUE"""),"Davi José Oliveira dos Santos ")</f>
        <v>Davi José Oliveira dos Santos </v>
      </c>
      <c r="B270" s="49">
        <f>IFERROR(__xludf.DUMMYFUNCTION("""COMPUTED_VALUE"""),42071.0)</f>
        <v>42071</v>
      </c>
      <c r="C270" s="8" t="str">
        <f>IFERROR(__xludf.DUMMYFUNCTION("""COMPUTED_VALUE"""),"07976786385")</f>
        <v>07976786385</v>
      </c>
    </row>
    <row r="271">
      <c r="A271" s="8" t="str">
        <f>IFERROR(__xludf.DUMMYFUNCTION("""COMPUTED_VALUE"""),"José Ricardo dos Santos ")</f>
        <v>José Ricardo dos Santos </v>
      </c>
      <c r="B271" s="49">
        <f>IFERROR(__xludf.DUMMYFUNCTION("""COMPUTED_VALUE"""),27838.0)</f>
        <v>27838</v>
      </c>
      <c r="C271" s="8">
        <f>IFERROR(__xludf.DUMMYFUNCTION("""COMPUTED_VALUE"""),7.2763523587E10)</f>
        <v>72763523587</v>
      </c>
    </row>
    <row r="272">
      <c r="A272" s="8" t="str">
        <f>IFERROR(__xludf.DUMMYFUNCTION("""COMPUTED_VALUE"""),"José Lucas Oliveira dos Santos ")</f>
        <v>José Lucas Oliveira dos Santos </v>
      </c>
      <c r="B272" s="49">
        <f>IFERROR(__xludf.DUMMYFUNCTION("""COMPUTED_VALUE"""),43113.0)</f>
        <v>43113</v>
      </c>
      <c r="C272" s="8" t="str">
        <f>IFERROR(__xludf.DUMMYFUNCTION("""COMPUTED_VALUE"""),"097.595.663-97")</f>
        <v>097.595.663-97</v>
      </c>
    </row>
    <row r="273">
      <c r="A273" s="8" t="str">
        <f>IFERROR(__xludf.DUMMYFUNCTION("""COMPUTED_VALUE"""),"José Savio Oliveira dos Santos")</f>
        <v>José Savio Oliveira dos Santos</v>
      </c>
      <c r="B273" s="49">
        <f>IFERROR(__xludf.DUMMYFUNCTION("""COMPUTED_VALUE"""),41287.0)</f>
        <v>41287</v>
      </c>
      <c r="C273" s="8" t="str">
        <f>IFERROR(__xludf.DUMMYFUNCTION("""COMPUTED_VALUE"""),"07048044330")</f>
        <v>07048044330</v>
      </c>
    </row>
    <row r="274">
      <c r="A274" s="8" t="str">
        <f>IFERROR(__xludf.DUMMYFUNCTION("""COMPUTED_VALUE"""),"Isabelle Lopes Oliveira ")</f>
        <v>Isabelle Lopes Oliveira </v>
      </c>
      <c r="B274" s="49">
        <f>IFERROR(__xludf.DUMMYFUNCTION("""COMPUTED_VALUE"""),34149.0)</f>
        <v>34149</v>
      </c>
      <c r="C274" s="8" t="str">
        <f>IFERROR(__xludf.DUMMYFUNCTION("""COMPUTED_VALUE"""),"05481370301")</f>
        <v>05481370301</v>
      </c>
    </row>
    <row r="275">
      <c r="A275" s="8" t="str">
        <f>IFERROR(__xludf.DUMMYFUNCTION("""COMPUTED_VALUE"""),"Ada de Almeida Medeiros Porcino ")</f>
        <v>Ada de Almeida Medeiros Porcino </v>
      </c>
      <c r="B275" s="49">
        <f>IFERROR(__xludf.DUMMYFUNCTION("""COMPUTED_VALUE"""),29590.0)</f>
        <v>29590</v>
      </c>
      <c r="C275" s="8">
        <f>IFERROR(__xludf.DUMMYFUNCTION("""COMPUTED_VALUE"""),3.0602070899E10)</f>
        <v>30602070899</v>
      </c>
    </row>
    <row r="276">
      <c r="A276" s="8" t="str">
        <f>IFERROR(__xludf.DUMMYFUNCTION("""COMPUTED_VALUE"""),"Gledson costa porcino ")</f>
        <v>Gledson costa porcino </v>
      </c>
      <c r="B276" s="49">
        <f>IFERROR(__xludf.DUMMYFUNCTION("""COMPUTED_VALUE"""),46023.0)</f>
        <v>46023</v>
      </c>
      <c r="C276" s="8">
        <f>IFERROR(__xludf.DUMMYFUNCTION("""COMPUTED_VALUE"""),2.65232898E10)</f>
        <v>26523289800</v>
      </c>
    </row>
    <row r="277">
      <c r="A277" s="8" t="str">
        <f>IFERROR(__xludf.DUMMYFUNCTION("""COMPUTED_VALUE"""),"Lais Aparecida dos Santos ")</f>
        <v>Lais Aparecida dos Santos </v>
      </c>
      <c r="B277" s="49">
        <f>IFERROR(__xludf.DUMMYFUNCTION("""COMPUTED_VALUE"""),35891.0)</f>
        <v>35891</v>
      </c>
      <c r="C277" s="8">
        <f>IFERROR(__xludf.DUMMYFUNCTION("""COMPUTED_VALUE"""),4.6095440831E10)</f>
        <v>46095440831</v>
      </c>
    </row>
    <row r="278">
      <c r="A278" s="8" t="str">
        <f>IFERROR(__xludf.DUMMYFUNCTION("""COMPUTED_VALUE"""),"Eduardo Pereira Dantas ")</f>
        <v>Eduardo Pereira Dantas </v>
      </c>
      <c r="B278" s="49">
        <f>IFERROR(__xludf.DUMMYFUNCTION("""COMPUTED_VALUE"""),36949.0)</f>
        <v>36949</v>
      </c>
      <c r="C278" s="8" t="str">
        <f>IFERROR(__xludf.DUMMYFUNCTION("""COMPUTED_VALUE"""),"456.582.918-52")</f>
        <v>456.582.918-52</v>
      </c>
    </row>
    <row r="279">
      <c r="A279" s="8" t="str">
        <f>IFERROR(__xludf.DUMMYFUNCTION("""COMPUTED_VALUE"""),"Ledijanio matos Borges ")</f>
        <v>Ledijanio matos Borges </v>
      </c>
      <c r="B279" s="49">
        <f>IFERROR(__xludf.DUMMYFUNCTION("""COMPUTED_VALUE"""),29439.0)</f>
        <v>29439</v>
      </c>
      <c r="C279" s="8">
        <f>IFERROR(__xludf.DUMMYFUNCTION("""COMPUTED_VALUE"""),3.3042516857E10)</f>
        <v>33042516857</v>
      </c>
    </row>
    <row r="280">
      <c r="A280" s="8" t="str">
        <f>IFERROR(__xludf.DUMMYFUNCTION("""COMPUTED_VALUE"""),"Ledijanio matos Borges ")</f>
        <v>Ledijanio matos Borges </v>
      </c>
      <c r="B280" s="49">
        <f>IFERROR(__xludf.DUMMYFUNCTION("""COMPUTED_VALUE"""),46046.0)</f>
        <v>46046</v>
      </c>
      <c r="C280" s="8">
        <f>IFERROR(__xludf.DUMMYFUNCTION("""COMPUTED_VALUE"""),3.304256857E9)</f>
        <v>3304256857</v>
      </c>
    </row>
    <row r="281">
      <c r="A281" s="8" t="str">
        <f>IFERROR(__xludf.DUMMYFUNCTION("""COMPUTED_VALUE"""),"João victor Lima Almeida")</f>
        <v>João victor Lima Almeida</v>
      </c>
      <c r="B281" s="49">
        <f>IFERROR(__xludf.DUMMYFUNCTION("""COMPUTED_VALUE"""),38527.0)</f>
        <v>38527</v>
      </c>
      <c r="C281" s="8" t="str">
        <f>IFERROR(__xludf.DUMMYFUNCTION("""COMPUTED_VALUE"""),"075.018.063-30")</f>
        <v>075.018.063-30</v>
      </c>
    </row>
    <row r="282">
      <c r="A282" s="8" t="str">
        <f>IFERROR(__xludf.DUMMYFUNCTION("""COMPUTED_VALUE"""),"Luciana de Macedo Teles")</f>
        <v>Luciana de Macedo Teles</v>
      </c>
      <c r="B282" s="49">
        <f>IFERROR(__xludf.DUMMYFUNCTION("""COMPUTED_VALUE"""),36565.0)</f>
        <v>36565</v>
      </c>
      <c r="C282" s="8">
        <f>IFERROR(__xludf.DUMMYFUNCTION("""COMPUTED_VALUE"""),1.2717482407E10)</f>
        <v>12717482407</v>
      </c>
    </row>
    <row r="283">
      <c r="A283" s="8" t="str">
        <f>IFERROR(__xludf.DUMMYFUNCTION("""COMPUTED_VALUE"""),"Ivan Lucas Battistin ")</f>
        <v>Ivan Lucas Battistin </v>
      </c>
      <c r="B283" s="49">
        <f>IFERROR(__xludf.DUMMYFUNCTION("""COMPUTED_VALUE"""),35053.0)</f>
        <v>35053</v>
      </c>
      <c r="C283" s="8" t="str">
        <f>IFERROR(__xludf.DUMMYFUNCTION("""COMPUTED_VALUE"""),"09634656943")</f>
        <v>09634656943</v>
      </c>
    </row>
    <row r="284">
      <c r="A284" s="8" t="str">
        <f>IFERROR(__xludf.DUMMYFUNCTION("""COMPUTED_VALUE"""),"Rafaely Oliveira Ferreira ")</f>
        <v>Rafaely Oliveira Ferreira </v>
      </c>
      <c r="B284" s="49">
        <f>IFERROR(__xludf.DUMMYFUNCTION("""COMPUTED_VALUE"""),37492.0)</f>
        <v>37492</v>
      </c>
      <c r="C284" s="8" t="str">
        <f>IFERROR(__xludf.DUMMYFUNCTION("""COMPUTED_VALUE"""),"618.349.683-99")</f>
        <v>618.349.683-99</v>
      </c>
    </row>
    <row r="285">
      <c r="A285" s="8" t="str">
        <f>IFERROR(__xludf.DUMMYFUNCTION("""COMPUTED_VALUE"""),"‎Ana Beatriz Cunha da Silva ")</f>
        <v>‎Ana Beatriz Cunha da Silva </v>
      </c>
      <c r="B285" s="49">
        <f>IFERROR(__xludf.DUMMYFUNCTION("""COMPUTED_VALUE"""),38384.0)</f>
        <v>38384</v>
      </c>
      <c r="C285" s="8" t="str">
        <f>IFERROR(__xludf.DUMMYFUNCTION("""COMPUTED_VALUE"""),"626.115.653-09")</f>
        <v>626.115.653-09</v>
      </c>
    </row>
    <row r="286">
      <c r="A286" s="8" t="str">
        <f>IFERROR(__xludf.DUMMYFUNCTION("""COMPUTED_VALUE"""),"‎Maria Francisca Silva do Nascimento")</f>
        <v>‎Maria Francisca Silva do Nascimento</v>
      </c>
      <c r="B286" s="49">
        <f>IFERROR(__xludf.DUMMYFUNCTION("""COMPUTED_VALUE"""),36783.0)</f>
        <v>36783</v>
      </c>
      <c r="C286" s="8" t="str">
        <f>IFERROR(__xludf.DUMMYFUNCTION("""COMPUTED_VALUE"""),"624.420.053-52")</f>
        <v>624.420.053-52</v>
      </c>
    </row>
    <row r="287">
      <c r="A287" s="8" t="str">
        <f>IFERROR(__xludf.DUMMYFUNCTION("""COMPUTED_VALUE"""),"Ana Luiza Kuller Wagner ")</f>
        <v>Ana Luiza Kuller Wagner </v>
      </c>
      <c r="B287" s="49">
        <f>IFERROR(__xludf.DUMMYFUNCTION("""COMPUTED_VALUE"""),39102.0)</f>
        <v>39102</v>
      </c>
      <c r="C287" s="8">
        <f>IFERROR(__xludf.DUMMYFUNCTION("""COMPUTED_VALUE"""),1.276577893E10)</f>
        <v>12765778930</v>
      </c>
    </row>
    <row r="288">
      <c r="A288" s="8" t="str">
        <f>IFERROR(__xludf.DUMMYFUNCTION("""COMPUTED_VALUE"""),"Elias Nogueira Mendes")</f>
        <v>Elias Nogueira Mendes</v>
      </c>
      <c r="B288" s="49">
        <f>IFERROR(__xludf.DUMMYFUNCTION("""COMPUTED_VALUE"""),38328.0)</f>
        <v>38328</v>
      </c>
      <c r="C288" s="8">
        <f>IFERROR(__xludf.DUMMYFUNCTION("""COMPUTED_VALUE"""),5.2953393862E10)</f>
        <v>52953393862</v>
      </c>
    </row>
    <row r="289">
      <c r="A289" s="8" t="str">
        <f>IFERROR(__xludf.DUMMYFUNCTION("""COMPUTED_VALUE"""),"Larissa Gimenez Cau")</f>
        <v>Larissa Gimenez Cau</v>
      </c>
      <c r="B289" s="49">
        <f>IFERROR(__xludf.DUMMYFUNCTION("""COMPUTED_VALUE"""),35169.0)</f>
        <v>35169</v>
      </c>
      <c r="C289" s="8">
        <f>IFERROR(__xludf.DUMMYFUNCTION("""COMPUTED_VALUE"""),3.8636955858E10)</f>
        <v>38636955858</v>
      </c>
    </row>
    <row r="290">
      <c r="A290" s="8" t="str">
        <f>IFERROR(__xludf.DUMMYFUNCTION("""COMPUTED_VALUE"""),"Marco Antônio Andrade Rodrigues ")</f>
        <v>Marco Antônio Andrade Rodrigues </v>
      </c>
      <c r="B290" s="49">
        <f>IFERROR(__xludf.DUMMYFUNCTION("""COMPUTED_VALUE"""),35390.0)</f>
        <v>35390</v>
      </c>
      <c r="C290" s="8">
        <f>IFERROR(__xludf.DUMMYFUNCTION("""COMPUTED_VALUE"""),4.3527539808E10)</f>
        <v>43527539808</v>
      </c>
    </row>
    <row r="291">
      <c r="A291" s="8" t="str">
        <f>IFERROR(__xludf.DUMMYFUNCTION("""COMPUTED_VALUE"""),"Amanda Soares Vilela ")</f>
        <v>Amanda Soares Vilela </v>
      </c>
      <c r="B291" s="49">
        <f>IFERROR(__xludf.DUMMYFUNCTION("""COMPUTED_VALUE"""),34613.0)</f>
        <v>34613</v>
      </c>
      <c r="C291" s="8">
        <f>IFERROR(__xludf.DUMMYFUNCTION("""COMPUTED_VALUE"""),4.4017460828E10)</f>
        <v>44017460828</v>
      </c>
    </row>
    <row r="292">
      <c r="A292" s="8" t="str">
        <f>IFERROR(__xludf.DUMMYFUNCTION("""COMPUTED_VALUE"""),"Ananda Caroline Silva Roschel")</f>
        <v>Ananda Caroline Silva Roschel</v>
      </c>
      <c r="B292" s="49">
        <f>IFERROR(__xludf.DUMMYFUNCTION("""COMPUTED_VALUE"""),46185.0)</f>
        <v>46185</v>
      </c>
      <c r="C292" s="8">
        <f>IFERROR(__xludf.DUMMYFUNCTION("""COMPUTED_VALUE"""),3.8948053825E10)</f>
        <v>38948053825</v>
      </c>
    </row>
    <row r="293">
      <c r="A293" s="8" t="str">
        <f>IFERROR(__xludf.DUMMYFUNCTION("""COMPUTED_VALUE"""),"Gabriel Tadeu Roschel do Espirito Santo ")</f>
        <v>Gabriel Tadeu Roschel do Espirito Santo </v>
      </c>
      <c r="B293" s="49">
        <f>IFERROR(__xludf.DUMMYFUNCTION("""COMPUTED_VALUE"""),35840.0)</f>
        <v>35840</v>
      </c>
      <c r="C293" s="8">
        <f>IFERROR(__xludf.DUMMYFUNCTION("""COMPUTED_VALUE"""),4.7125002803E10)</f>
        <v>47125002803</v>
      </c>
    </row>
    <row r="294">
      <c r="A294" s="8" t="str">
        <f>IFERROR(__xludf.DUMMYFUNCTION("""COMPUTED_VALUE"""),"Ricardo de Oliveira Lopes")</f>
        <v>Ricardo de Oliveira Lopes</v>
      </c>
      <c r="B294" s="49">
        <f>IFERROR(__xludf.DUMMYFUNCTION("""COMPUTED_VALUE"""),29924.0)</f>
        <v>29924</v>
      </c>
      <c r="C294" s="8">
        <f>IFERROR(__xludf.DUMMYFUNCTION("""COMPUTED_VALUE"""),2.2459259808E10)</f>
        <v>22459259808</v>
      </c>
    </row>
    <row r="295">
      <c r="A295" s="8" t="str">
        <f>IFERROR(__xludf.DUMMYFUNCTION("""COMPUTED_VALUE"""),"Douglas Pardini de Souza")</f>
        <v>Douglas Pardini de Souza</v>
      </c>
      <c r="B295" s="49">
        <f>IFERROR(__xludf.DUMMYFUNCTION("""COMPUTED_VALUE"""),31213.0)</f>
        <v>31213</v>
      </c>
      <c r="C295" s="8">
        <f>IFERROR(__xludf.DUMMYFUNCTION("""COMPUTED_VALUE"""),3.3889641814E10)</f>
        <v>33889641814</v>
      </c>
    </row>
    <row r="296">
      <c r="A296" s="8" t="str">
        <f>IFERROR(__xludf.DUMMYFUNCTION("""COMPUTED_VALUE"""),"Thabata Venancio Suyama ")</f>
        <v>Thabata Venancio Suyama </v>
      </c>
      <c r="B296" s="49">
        <f>IFERROR(__xludf.DUMMYFUNCTION("""COMPUTED_VALUE"""),35509.0)</f>
        <v>35509</v>
      </c>
      <c r="C296" s="8">
        <f>IFERROR(__xludf.DUMMYFUNCTION("""COMPUTED_VALUE"""),4.1119896835E10)</f>
        <v>41119896835</v>
      </c>
    </row>
    <row r="297">
      <c r="A297" s="8" t="str">
        <f>IFERROR(__xludf.DUMMYFUNCTION("""COMPUTED_VALUE"""),"Gabriel Venancio Suyama")</f>
        <v>Gabriel Venancio Suyama</v>
      </c>
      <c r="B297" s="49">
        <f>IFERROR(__xludf.DUMMYFUNCTION("""COMPUTED_VALUE"""),35465.0)</f>
        <v>35465</v>
      </c>
      <c r="C297" s="8">
        <f>IFERROR(__xludf.DUMMYFUNCTION("""COMPUTED_VALUE"""),4.566270483E10)</f>
        <v>45662704830</v>
      </c>
    </row>
    <row r="298">
      <c r="A298" s="8" t="str">
        <f>IFERROR(__xludf.DUMMYFUNCTION("""COMPUTED_VALUE"""),"Sarah Venancio Suyama")</f>
        <v>Sarah Venancio Suyama</v>
      </c>
      <c r="B298" s="49">
        <f>IFERROR(__xludf.DUMMYFUNCTION("""COMPUTED_VALUE"""),44572.0)</f>
        <v>44572</v>
      </c>
      <c r="C298" s="8">
        <f>IFERROR(__xludf.DUMMYFUNCTION("""COMPUTED_VALUE"""),5.994338087E10)</f>
        <v>59943380870</v>
      </c>
    </row>
    <row r="299">
      <c r="A299" s="8" t="str">
        <f>IFERROR(__xludf.DUMMYFUNCTION("""COMPUTED_VALUE"""),"Isabela Rossi Rotta ")</f>
        <v>Isabela Rossi Rotta </v>
      </c>
      <c r="B299" s="49">
        <f>IFERROR(__xludf.DUMMYFUNCTION("""COMPUTED_VALUE"""),35365.0)</f>
        <v>35365</v>
      </c>
      <c r="C299" s="8">
        <f>IFERROR(__xludf.DUMMYFUNCTION("""COMPUTED_VALUE"""),4.699327087E10)</f>
        <v>46993270870</v>
      </c>
    </row>
    <row r="300">
      <c r="A300" s="8" t="str">
        <f>IFERROR(__xludf.DUMMYFUNCTION("""COMPUTED_VALUE"""),"Clarissa Rotta Stroligo ")</f>
        <v>Clarissa Rotta Stroligo </v>
      </c>
      <c r="B300" s="49">
        <f>IFERROR(__xludf.DUMMYFUNCTION("""COMPUTED_VALUE"""),45890.0)</f>
        <v>45890</v>
      </c>
      <c r="C300" s="8">
        <f>IFERROR(__xludf.DUMMYFUNCTION("""COMPUTED_VALUE"""),1.1927531861E10)</f>
        <v>11927531861</v>
      </c>
    </row>
    <row r="301">
      <c r="A301" s="8" t="str">
        <f>IFERROR(__xludf.DUMMYFUNCTION("""COMPUTED_VALUE"""),"Leonardo Stroligo de Almeida ")</f>
        <v>Leonardo Stroligo de Almeida </v>
      </c>
      <c r="B301" s="49">
        <f>IFERROR(__xludf.DUMMYFUNCTION("""COMPUTED_VALUE"""),37313.0)</f>
        <v>37313</v>
      </c>
      <c r="C301" s="8">
        <f>IFERROR(__xludf.DUMMYFUNCTION("""COMPUTED_VALUE"""),5.0363052801E10)</f>
        <v>50363052801</v>
      </c>
    </row>
    <row r="302">
      <c r="A302" s="8" t="str">
        <f>IFERROR(__xludf.DUMMYFUNCTION("""COMPUTED_VALUE"""),"Pedro da Silva Augusto ")</f>
        <v>Pedro da Silva Augusto </v>
      </c>
      <c r="B302" s="49">
        <f>IFERROR(__xludf.DUMMYFUNCTION("""COMPUTED_VALUE"""),17509.0)</f>
        <v>17509</v>
      </c>
      <c r="C302" s="8" t="str">
        <f>IFERROR(__xludf.DUMMYFUNCTION("""COMPUTED_VALUE"""),"527 923 588 15 ")</f>
        <v>527 923 588 15 </v>
      </c>
    </row>
    <row r="303">
      <c r="A303" s="8" t="str">
        <f>IFERROR(__xludf.DUMMYFUNCTION("""COMPUTED_VALUE"""),"NICOLLY VIANA CARNEIRO")</f>
        <v>NICOLLY VIANA CARNEIRO</v>
      </c>
      <c r="B303" s="49">
        <f>IFERROR(__xludf.DUMMYFUNCTION("""COMPUTED_VALUE"""),37121.0)</f>
        <v>37121</v>
      </c>
      <c r="C303" s="8">
        <f>IFERROR(__xludf.DUMMYFUNCTION("""COMPUTED_VALUE"""),4.745503881E10)</f>
        <v>47455038810</v>
      </c>
    </row>
    <row r="304">
      <c r="A304" s="8" t="str">
        <f>IFERROR(__xludf.DUMMYFUNCTION("""COMPUTED_VALUE"""),"Francisca Rubiane Elias Guilherme ")</f>
        <v>Francisca Rubiane Elias Guilherme </v>
      </c>
      <c r="B304" s="49">
        <f>IFERROR(__xludf.DUMMYFUNCTION("""COMPUTED_VALUE"""),31807.0)</f>
        <v>31807</v>
      </c>
      <c r="C304" s="8" t="str">
        <f>IFERROR(__xludf.DUMMYFUNCTION("""COMPUTED_VALUE"""),"025.971.683-95")</f>
        <v>025.971.683-95</v>
      </c>
    </row>
    <row r="305">
      <c r="A305" s="8" t="str">
        <f>IFERROR(__xludf.DUMMYFUNCTION("""COMPUTED_VALUE"""),"Samuel Antônio da Silva ")</f>
        <v>Samuel Antônio da Silva </v>
      </c>
      <c r="B305" s="49">
        <f>IFERROR(__xludf.DUMMYFUNCTION("""COMPUTED_VALUE"""),35082.0)</f>
        <v>35082</v>
      </c>
      <c r="C305" s="8">
        <f>IFERROR(__xludf.DUMMYFUNCTION("""COMPUTED_VALUE"""),4.542379787E10)</f>
        <v>45423797870</v>
      </c>
    </row>
    <row r="306">
      <c r="A306" s="8" t="str">
        <f>IFERROR(__xludf.DUMMYFUNCTION("""COMPUTED_VALUE"""),"Guilherme Augustus Cruz Garcia")</f>
        <v>Guilherme Augustus Cruz Garcia</v>
      </c>
      <c r="B306" s="49">
        <f>IFERROR(__xludf.DUMMYFUNCTION("""COMPUTED_VALUE"""),32434.0)</f>
        <v>32434</v>
      </c>
      <c r="C306" s="8">
        <f>IFERROR(__xludf.DUMMYFUNCTION("""COMPUTED_VALUE"""),3.6859228822E10)</f>
        <v>36859228822</v>
      </c>
    </row>
    <row r="307">
      <c r="A307" s="8" t="str">
        <f>IFERROR(__xludf.DUMMYFUNCTION("""COMPUTED_VALUE"""),"Bruna da Silva Lopes ")</f>
        <v>Bruna da Silva Lopes </v>
      </c>
      <c r="B307" s="49">
        <f>IFERROR(__xludf.DUMMYFUNCTION("""COMPUTED_VALUE"""),34198.0)</f>
        <v>34198</v>
      </c>
      <c r="C307" s="8" t="str">
        <f>IFERROR(__xludf.DUMMYFUNCTION("""COMPUTED_VALUE"""),"416.622.398-40")</f>
        <v>416.622.398-40</v>
      </c>
    </row>
    <row r="308">
      <c r="A308" s="8" t="str">
        <f>IFERROR(__xludf.DUMMYFUNCTION("""COMPUTED_VALUE"""),"João Victor Cruz Garcia")</f>
        <v>João Victor Cruz Garcia</v>
      </c>
      <c r="B308" s="49">
        <f>IFERROR(__xludf.DUMMYFUNCTION("""COMPUTED_VALUE"""),35907.0)</f>
        <v>35907</v>
      </c>
      <c r="C308" s="8">
        <f>IFERROR(__xludf.DUMMYFUNCTION("""COMPUTED_VALUE"""),4.6953909811E10)</f>
        <v>46953909811</v>
      </c>
    </row>
    <row r="309">
      <c r="A309" s="8" t="str">
        <f>IFERROR(__xludf.DUMMYFUNCTION("""COMPUTED_VALUE"""),"Nathalia Ferrazoli Penilha Godinho")</f>
        <v>Nathalia Ferrazoli Penilha Godinho</v>
      </c>
      <c r="B309" s="49">
        <f>IFERROR(__xludf.DUMMYFUNCTION("""COMPUTED_VALUE"""),35678.0)</f>
        <v>35678</v>
      </c>
      <c r="C309" s="8">
        <f>IFERROR(__xludf.DUMMYFUNCTION("""COMPUTED_VALUE"""),4.5409847806E10)</f>
        <v>45409847806</v>
      </c>
    </row>
    <row r="310">
      <c r="A310" s="8" t="str">
        <f>IFERROR(__xludf.DUMMYFUNCTION("""COMPUTED_VALUE"""),"Pietro Yuri Rangel Miyayaciki ")</f>
        <v>Pietro Yuri Rangel Miyayaciki </v>
      </c>
      <c r="B310" s="49">
        <f>IFERROR(__xludf.DUMMYFUNCTION("""COMPUTED_VALUE"""),-685119.0)</f>
        <v>-685119</v>
      </c>
      <c r="C310" s="8" t="str">
        <f>IFERROR(__xludf.DUMMYFUNCTION("""COMPUTED_VALUE"""),"025.143.448-67 ")</f>
        <v>025.143.448-67 </v>
      </c>
    </row>
    <row r="311">
      <c r="A311" s="8" t="str">
        <f>IFERROR(__xludf.DUMMYFUNCTION("""COMPUTED_VALUE"""),"Eduardo Tadashi Miyayaciki ")</f>
        <v>Eduardo Tadashi Miyayaciki </v>
      </c>
      <c r="B311" s="49">
        <f>IFERROR(__xludf.DUMMYFUNCTION("""COMPUTED_VALUE"""),-668063.0)</f>
        <v>-668063</v>
      </c>
      <c r="C311" s="8" t="str">
        <f>IFERROR(__xludf.DUMMYFUNCTION("""COMPUTED_VALUE"""),"135774438-20")</f>
        <v>135774438-20</v>
      </c>
    </row>
    <row r="312">
      <c r="A312" s="8" t="str">
        <f>IFERROR(__xludf.DUMMYFUNCTION("""COMPUTED_VALUE"""),"Helena Maria Miyayaciki ")</f>
        <v>Helena Maria Miyayaciki </v>
      </c>
      <c r="B312" s="49">
        <f>IFERROR(__xludf.DUMMYFUNCTION("""COMPUTED_VALUE"""),-669013.0)</f>
        <v>-669013</v>
      </c>
      <c r="C312" s="8" t="str">
        <f>IFERROR(__xludf.DUMMYFUNCTION("""COMPUTED_VALUE"""),"151158318-56")</f>
        <v>151158318-56</v>
      </c>
    </row>
    <row r="313">
      <c r="A313" s="8" t="str">
        <f>IFERROR(__xludf.DUMMYFUNCTION("""COMPUTED_VALUE"""),"Rita de Cássia Morais Rangel ")</f>
        <v>Rita de Cássia Morais Rangel </v>
      </c>
      <c r="B313" s="49">
        <f>IFERROR(__xludf.DUMMYFUNCTION("""COMPUTED_VALUE"""),24150.0)</f>
        <v>24150</v>
      </c>
      <c r="C313" s="8">
        <f>IFERROR(__xludf.DUMMYFUNCTION("""COMPUTED_VALUE"""),3.2543310363E10)</f>
        <v>32543310363</v>
      </c>
    </row>
    <row r="314">
      <c r="A314" s="8" t="str">
        <f>IFERROR(__xludf.DUMMYFUNCTION("""COMPUTED_VALUE"""),"Damião Rangel")</f>
        <v>Damião Rangel</v>
      </c>
      <c r="B314" s="49">
        <f>IFERROR(__xludf.DUMMYFUNCTION("""COMPUTED_VALUE"""),-669594.0)</f>
        <v>-669594</v>
      </c>
      <c r="C314" s="8">
        <f>IFERROR(__xludf.DUMMYFUNCTION("""COMPUTED_VALUE"""),3.2298412391E10)</f>
        <v>32298412391</v>
      </c>
    </row>
    <row r="315">
      <c r="A315" s="8" t="str">
        <f>IFERROR(__xludf.DUMMYFUNCTION("""COMPUTED_VALUE"""),"Jorge Luis Gomes de Moraes ")</f>
        <v>Jorge Luis Gomes de Moraes </v>
      </c>
      <c r="B315" s="49">
        <f>IFERROR(__xludf.DUMMYFUNCTION("""COMPUTED_VALUE"""),35802.0)</f>
        <v>35802</v>
      </c>
      <c r="C315" s="8">
        <f>IFERROR(__xludf.DUMMYFUNCTION("""COMPUTED_VALUE"""),4.6526280803E10)</f>
        <v>46526280803</v>
      </c>
    </row>
    <row r="316">
      <c r="A316" s="8" t="str">
        <f>IFERROR(__xludf.DUMMYFUNCTION("""COMPUTED_VALUE"""),"Monica Gomes da Silva ")</f>
        <v>Monica Gomes da Silva </v>
      </c>
      <c r="B316" s="49">
        <f>IFERROR(__xludf.DUMMYFUNCTION("""COMPUTED_VALUE"""),35452.0)</f>
        <v>35452</v>
      </c>
      <c r="C316" s="8">
        <f>IFERROR(__xludf.DUMMYFUNCTION("""COMPUTED_VALUE"""),4.5228641831E10)</f>
        <v>45228641831</v>
      </c>
    </row>
    <row r="317">
      <c r="A317" s="8" t="str">
        <f>IFERROR(__xludf.DUMMYFUNCTION("""COMPUTED_VALUE"""),"Carol Serodio Alves ")</f>
        <v>Carol Serodio Alves </v>
      </c>
      <c r="B317" s="49">
        <f>IFERROR(__xludf.DUMMYFUNCTION("""COMPUTED_VALUE"""),33400.0)</f>
        <v>33400</v>
      </c>
      <c r="C317" s="8">
        <f>IFERROR(__xludf.DUMMYFUNCTION("""COMPUTED_VALUE"""),4.036517783E10)</f>
        <v>40365177830</v>
      </c>
    </row>
    <row r="318">
      <c r="A318" s="8" t="str">
        <f>IFERROR(__xludf.DUMMYFUNCTION("""COMPUTED_VALUE"""),"Bianca Alves Zitei")</f>
        <v>Bianca Alves Zitei</v>
      </c>
      <c r="B318" s="49">
        <f>IFERROR(__xludf.DUMMYFUNCTION("""COMPUTED_VALUE"""),33942.0)</f>
        <v>33942</v>
      </c>
      <c r="C318" s="8">
        <f>IFERROR(__xludf.DUMMYFUNCTION("""COMPUTED_VALUE"""),4.1915319831E10)</f>
        <v>41915319831</v>
      </c>
    </row>
    <row r="319">
      <c r="A319" s="8" t="str">
        <f>IFERROR(__xludf.DUMMYFUNCTION("""COMPUTED_VALUE"""),"Paloma de Lima Ramos")</f>
        <v>Paloma de Lima Ramos</v>
      </c>
      <c r="B319" s="49">
        <f>IFERROR(__xludf.DUMMYFUNCTION("""COMPUTED_VALUE"""),35923.0)</f>
        <v>35923</v>
      </c>
      <c r="C319" s="8">
        <f>IFERROR(__xludf.DUMMYFUNCTION("""COMPUTED_VALUE"""),4.7284387831E10)</f>
        <v>47284387831</v>
      </c>
    </row>
    <row r="320">
      <c r="A320" s="8" t="str">
        <f>IFERROR(__xludf.DUMMYFUNCTION("""COMPUTED_VALUE"""),"Fernando Alves Afonso")</f>
        <v>Fernando Alves Afonso</v>
      </c>
      <c r="B320" s="49">
        <f>IFERROR(__xludf.DUMMYFUNCTION("""COMPUTED_VALUE"""),28828.0)</f>
        <v>28828</v>
      </c>
      <c r="C320" s="8" t="str">
        <f>IFERROR(__xludf.DUMMYFUNCTION("""COMPUTED_VALUE"""),"273.924.838-54 ")</f>
        <v>273.924.838-54 </v>
      </c>
    </row>
    <row r="321">
      <c r="A321" s="8" t="str">
        <f>IFERROR(__xludf.DUMMYFUNCTION("""COMPUTED_VALUE"""),"Diego Romero Sanches")</f>
        <v>Diego Romero Sanches</v>
      </c>
      <c r="B321" s="49">
        <f>IFERROR(__xludf.DUMMYFUNCTION("""COMPUTED_VALUE"""),31509.0)</f>
        <v>31509</v>
      </c>
      <c r="C321" s="8">
        <f>IFERROR(__xludf.DUMMYFUNCTION("""COMPUTED_VALUE"""),3.3592236806E10)</f>
        <v>33592236806</v>
      </c>
    </row>
    <row r="322">
      <c r="A322" s="8" t="str">
        <f>IFERROR(__xludf.DUMMYFUNCTION("""COMPUTED_VALUE"""),"Maria Fernanda Santos Silva ")</f>
        <v>Maria Fernanda Santos Silva </v>
      </c>
      <c r="B322" s="49">
        <f>IFERROR(__xludf.DUMMYFUNCTION("""COMPUTED_VALUE"""),37729.0)</f>
        <v>37729</v>
      </c>
      <c r="C322" s="8">
        <f>IFERROR(__xludf.DUMMYFUNCTION("""COMPUTED_VALUE"""),4.475570689E10)</f>
        <v>44755706890</v>
      </c>
    </row>
    <row r="323">
      <c r="A323" s="8" t="str">
        <f>IFERROR(__xludf.DUMMYFUNCTION("""COMPUTED_VALUE"""),"Viviane Macedo de Oliveira ")</f>
        <v>Viviane Macedo de Oliveira </v>
      </c>
      <c r="B323" s="49">
        <f>IFERROR(__xludf.DUMMYFUNCTION("""COMPUTED_VALUE"""),32216.0)</f>
        <v>32216</v>
      </c>
      <c r="C323" s="8">
        <f>IFERROR(__xludf.DUMMYFUNCTION("""COMPUTED_VALUE"""),3.6743863807E10)</f>
        <v>36743863807</v>
      </c>
    </row>
    <row r="324">
      <c r="A324" s="8" t="str">
        <f>IFERROR(__xludf.DUMMYFUNCTION("""COMPUTED_VALUE"""),"Geovanna Gonçalves Da Silva")</f>
        <v>Geovanna Gonçalves Da Silva</v>
      </c>
      <c r="B324" s="49">
        <f>IFERROR(__xludf.DUMMYFUNCTION("""COMPUTED_VALUE"""),46102.0)</f>
        <v>46102</v>
      </c>
      <c r="C324" s="8">
        <f>IFERROR(__xludf.DUMMYFUNCTION("""COMPUTED_VALUE"""),5.2850414816E10)</f>
        <v>52850414816</v>
      </c>
    </row>
    <row r="325">
      <c r="A325" s="8" t="str">
        <f>IFERROR(__xludf.DUMMYFUNCTION("""COMPUTED_VALUE"""),"Ana Flávia Hanaoka Alves")</f>
        <v>Ana Flávia Hanaoka Alves</v>
      </c>
      <c r="B325" s="49">
        <f>IFERROR(__xludf.DUMMYFUNCTION("""COMPUTED_VALUE"""),32860.0)</f>
        <v>32860</v>
      </c>
      <c r="C325" s="8">
        <f>IFERROR(__xludf.DUMMYFUNCTION("""COMPUTED_VALUE"""),4.0218742835E10)</f>
        <v>40218742835</v>
      </c>
    </row>
    <row r="326">
      <c r="A326" s="8" t="str">
        <f>IFERROR(__xludf.DUMMYFUNCTION("""COMPUTED_VALUE"""),"Marcia Hanaoka Alves ")</f>
        <v>Marcia Hanaoka Alves </v>
      </c>
      <c r="B326" s="49">
        <f>IFERROR(__xludf.DUMMYFUNCTION("""COMPUTED_VALUE"""),21920.0)</f>
        <v>21920</v>
      </c>
      <c r="C326" s="8" t="str">
        <f>IFERROR(__xludf.DUMMYFUNCTION("""COMPUTED_VALUE"""),"01013812808")</f>
        <v>01013812808</v>
      </c>
    </row>
    <row r="327">
      <c r="A327" s="8" t="str">
        <f>IFERROR(__xludf.DUMMYFUNCTION("""COMPUTED_VALUE"""),"João Antônio Alves ")</f>
        <v>João Antônio Alves </v>
      </c>
      <c r="B327" s="49">
        <f>IFERROR(__xludf.DUMMYFUNCTION("""COMPUTED_VALUE"""),18432.0)</f>
        <v>18432</v>
      </c>
      <c r="C327" s="8">
        <f>IFERROR(__xludf.DUMMYFUNCTION("""COMPUTED_VALUE"""),8.5475319804E10)</f>
        <v>85475319804</v>
      </c>
    </row>
    <row r="328">
      <c r="A328" s="8" t="str">
        <f>IFERROR(__xludf.DUMMYFUNCTION("""COMPUTED_VALUE"""),"João Vitor Hanaoka Alves ")</f>
        <v>João Vitor Hanaoka Alves </v>
      </c>
      <c r="B328" s="49">
        <f>IFERROR(__xludf.DUMMYFUNCTION("""COMPUTED_VALUE"""),34480.0)</f>
        <v>34480</v>
      </c>
      <c r="C328" s="8" t="str">
        <f>IFERROR(__xludf.DUMMYFUNCTION("""COMPUTED_VALUE"""),"442.652.438-51")</f>
        <v>442.652.438-51</v>
      </c>
    </row>
    <row r="329">
      <c r="A329" s="8" t="str">
        <f>IFERROR(__xludf.DUMMYFUNCTION("""COMPUTED_VALUE"""),"Isabella Hanaoka Alves Peçanha ")</f>
        <v>Isabella Hanaoka Alves Peçanha </v>
      </c>
      <c r="B329" s="49">
        <f>IFERROR(__xludf.DUMMYFUNCTION("""COMPUTED_VALUE"""),44818.0)</f>
        <v>44818</v>
      </c>
      <c r="C329" s="8">
        <f>IFERROR(__xludf.DUMMYFUNCTION("""COMPUTED_VALUE"""),6.0522440894E10)</f>
        <v>60522440894</v>
      </c>
    </row>
    <row r="330">
      <c r="A330" s="8" t="str">
        <f>IFERROR(__xludf.DUMMYFUNCTION("""COMPUTED_VALUE"""),"Ana Carla da Silva Santos")</f>
        <v>Ana Carla da Silva Santos</v>
      </c>
      <c r="B330" s="49">
        <f>IFERROR(__xludf.DUMMYFUNCTION("""COMPUTED_VALUE"""),28905.0)</f>
        <v>28905</v>
      </c>
      <c r="C330" s="8">
        <f>IFERROR(__xludf.DUMMYFUNCTION("""COMPUTED_VALUE"""),9.3039123572E10)</f>
        <v>93039123572</v>
      </c>
    </row>
    <row r="331">
      <c r="A331" s="8" t="str">
        <f>IFERROR(__xludf.DUMMYFUNCTION("""COMPUTED_VALUE"""),"Josilene Bonete de Faria ")</f>
        <v>Josilene Bonete de Faria </v>
      </c>
      <c r="B331" s="49">
        <f>IFERROR(__xludf.DUMMYFUNCTION("""COMPUTED_VALUE"""),34243.0)</f>
        <v>34243</v>
      </c>
      <c r="C331" s="8" t="str">
        <f>IFERROR(__xludf.DUMMYFUNCTION("""COMPUTED_VALUE"""),"08093548963")</f>
        <v>08093548963</v>
      </c>
    </row>
    <row r="332">
      <c r="A332" s="8" t="str">
        <f>IFERROR(__xludf.DUMMYFUNCTION("""COMPUTED_VALUE"""),"Miriam de Fatima Neres")</f>
        <v>Miriam de Fatima Neres</v>
      </c>
      <c r="B332" s="49">
        <f>IFERROR(__xludf.DUMMYFUNCTION("""COMPUTED_VALUE"""),31126.0)</f>
        <v>31126</v>
      </c>
      <c r="C332" s="8" t="str">
        <f>IFERROR(__xludf.DUMMYFUNCTION("""COMPUTED_VALUE"""),"07877179910")</f>
        <v>07877179910</v>
      </c>
    </row>
    <row r="333">
      <c r="A333" s="8" t="str">
        <f>IFERROR(__xludf.DUMMYFUNCTION("""COMPUTED_VALUE"""),"Amailson Mateus dos Santos de Jesus ")</f>
        <v>Amailson Mateus dos Santos de Jesus </v>
      </c>
      <c r="B333" s="49">
        <f>IFERROR(__xludf.DUMMYFUNCTION("""COMPUTED_VALUE"""),36161.0)</f>
        <v>36161</v>
      </c>
      <c r="C333" s="8">
        <f>IFERROR(__xludf.DUMMYFUNCTION("""COMPUTED_VALUE"""),1.1941708978E10)</f>
        <v>11941708978</v>
      </c>
    </row>
    <row r="334">
      <c r="A334" s="8" t="str">
        <f>IFERROR(__xludf.DUMMYFUNCTION("""COMPUTED_VALUE"""),"Adriano Pereira Xavier ")</f>
        <v>Adriano Pereira Xavier </v>
      </c>
      <c r="B334" s="49">
        <f>IFERROR(__xludf.DUMMYFUNCTION("""COMPUTED_VALUE"""),30505.0)</f>
        <v>30505</v>
      </c>
      <c r="C334" s="8" t="str">
        <f>IFERROR(__xludf.DUMMYFUNCTION("""COMPUTED_VALUE"""),"045.206.139.30")</f>
        <v>045.206.139.30</v>
      </c>
    </row>
    <row r="335">
      <c r="A335" s="8" t="str">
        <f>IFERROR(__xludf.DUMMYFUNCTION("""COMPUTED_VALUE"""),"Kauan Ariel de Souza Bomfim ")</f>
        <v>Kauan Ariel de Souza Bomfim </v>
      </c>
      <c r="B335" s="49">
        <f>IFERROR(__xludf.DUMMYFUNCTION("""COMPUTED_VALUE"""),37099.0)</f>
        <v>37099</v>
      </c>
      <c r="C335" s="8">
        <f>IFERROR(__xludf.DUMMYFUNCTION("""COMPUTED_VALUE"""),1.07897859E10)</f>
        <v>10789785900</v>
      </c>
    </row>
    <row r="336">
      <c r="A336" s="8" t="str">
        <f>IFERROR(__xludf.DUMMYFUNCTION("""COMPUTED_VALUE"""),"Eroildes de Jesus burkner")</f>
        <v>Eroildes de Jesus burkner</v>
      </c>
      <c r="B336" s="49">
        <f>IFERROR(__xludf.DUMMYFUNCTION("""COMPUTED_VALUE"""),25204.0)</f>
        <v>25204</v>
      </c>
      <c r="C336" s="8" t="str">
        <f>IFERROR(__xludf.DUMMYFUNCTION("""COMPUTED_VALUE"""),"766.831.259-53")</f>
        <v>766.831.259-53</v>
      </c>
    </row>
    <row r="337">
      <c r="A337" s="8" t="str">
        <f>IFERROR(__xludf.DUMMYFUNCTION("""COMPUTED_VALUE"""),"Patrick Moraes Ramos Pereira ")</f>
        <v>Patrick Moraes Ramos Pereira </v>
      </c>
      <c r="B337" s="49">
        <f>IFERROR(__xludf.DUMMYFUNCTION("""COMPUTED_VALUE"""),35088.0)</f>
        <v>35088</v>
      </c>
      <c r="C337" s="8">
        <f>IFERROR(__xludf.DUMMYFUNCTION("""COMPUTED_VALUE"""),4.4809017877E10)</f>
        <v>44809017877</v>
      </c>
    </row>
    <row r="338">
      <c r="A338" s="8" t="str">
        <f>IFERROR(__xludf.DUMMYFUNCTION("""COMPUTED_VALUE"""),"Marcos Bruno Soares da Silva ")</f>
        <v>Marcos Bruno Soares da Silva </v>
      </c>
      <c r="B338" s="49">
        <f>IFERROR(__xludf.DUMMYFUNCTION("""COMPUTED_VALUE"""),30730.0)</f>
        <v>30730</v>
      </c>
      <c r="C338" s="8">
        <f>IFERROR(__xludf.DUMMYFUNCTION("""COMPUTED_VALUE"""),3.084905681E10)</f>
        <v>30849056810</v>
      </c>
    </row>
    <row r="339">
      <c r="A339" s="8" t="str">
        <f>IFERROR(__xludf.DUMMYFUNCTION("""COMPUTED_VALUE"""),"Karina Teodoro de Oliveira")</f>
        <v>Karina Teodoro de Oliveira</v>
      </c>
      <c r="B339" s="49">
        <f>IFERROR(__xludf.DUMMYFUNCTION("""COMPUTED_VALUE"""),34586.0)</f>
        <v>34586</v>
      </c>
      <c r="C339" s="8">
        <f>IFERROR(__xludf.DUMMYFUNCTION("""COMPUTED_VALUE"""),4.2552023894E10)</f>
        <v>42552023894</v>
      </c>
    </row>
    <row r="340">
      <c r="A340" s="8" t="str">
        <f>IFERROR(__xludf.DUMMYFUNCTION("""COMPUTED_VALUE"""),"Rafael Teodoro da Silva")</f>
        <v>Rafael Teodoro da Silva</v>
      </c>
      <c r="B340" s="49">
        <f>IFERROR(__xludf.DUMMYFUNCTION("""COMPUTED_VALUE"""),34382.0)</f>
        <v>34382</v>
      </c>
      <c r="C340" s="8">
        <f>IFERROR(__xludf.DUMMYFUNCTION("""COMPUTED_VALUE"""),4.4658051877E10)</f>
        <v>44658051877</v>
      </c>
    </row>
    <row r="341">
      <c r="A341" s="8" t="str">
        <f>IFERROR(__xludf.DUMMYFUNCTION("""COMPUTED_VALUE"""),"Gabriela Teodoro de Oliveira ")</f>
        <v>Gabriela Teodoro de Oliveira </v>
      </c>
      <c r="B341" s="49">
        <f>IFERROR(__xludf.DUMMYFUNCTION("""COMPUTED_VALUE"""),43796.0)</f>
        <v>43796</v>
      </c>
      <c r="C341" s="8">
        <f>IFERROR(__xludf.DUMMYFUNCTION("""COMPUTED_VALUE"""),5.7961632808E10)</f>
        <v>57961632808</v>
      </c>
    </row>
    <row r="342">
      <c r="A342" s="8" t="str">
        <f>IFERROR(__xludf.DUMMYFUNCTION("""COMPUTED_VALUE"""),"Jhonatan Teodoro de Oliveira ")</f>
        <v>Jhonatan Teodoro de Oliveira </v>
      </c>
      <c r="B342" s="49">
        <f>IFERROR(__xludf.DUMMYFUNCTION("""COMPUTED_VALUE"""),44796.0)</f>
        <v>44796</v>
      </c>
      <c r="C342" s="8">
        <f>IFERROR(__xludf.DUMMYFUNCTION("""COMPUTED_VALUE"""),6.0491017871E10)</f>
        <v>60491017871</v>
      </c>
    </row>
    <row r="343">
      <c r="A343" s="8" t="str">
        <f>IFERROR(__xludf.DUMMYFUNCTION("""COMPUTED_VALUE"""),"Stephanie Jesus de Oliveira ")</f>
        <v>Stephanie Jesus de Oliveira </v>
      </c>
      <c r="B343" s="49">
        <f>IFERROR(__xludf.DUMMYFUNCTION("""COMPUTED_VALUE"""),34966.0)</f>
        <v>34966</v>
      </c>
      <c r="C343" s="8">
        <f>IFERROR(__xludf.DUMMYFUNCTION("""COMPUTED_VALUE"""),4.262324885E10)</f>
        <v>42623248850</v>
      </c>
    </row>
    <row r="344">
      <c r="A344" s="8" t="str">
        <f>IFERROR(__xludf.DUMMYFUNCTION("""COMPUTED_VALUE"""),"Pedro Tavares de Jesus")</f>
        <v>Pedro Tavares de Jesus</v>
      </c>
      <c r="B344" s="49">
        <f>IFERROR(__xludf.DUMMYFUNCTION("""COMPUTED_VALUE"""),43735.0)</f>
        <v>43735</v>
      </c>
      <c r="C344" s="8">
        <f>IFERROR(__xludf.DUMMYFUNCTION("""COMPUTED_VALUE"""),5.7748077894E10)</f>
        <v>57748077894</v>
      </c>
    </row>
    <row r="345">
      <c r="A345" s="8" t="str">
        <f>IFERROR(__xludf.DUMMYFUNCTION("""COMPUTED_VALUE"""),"Madalena Tavares de Jesus")</f>
        <v>Madalena Tavares de Jesus</v>
      </c>
      <c r="B345" s="49">
        <f>IFERROR(__xludf.DUMMYFUNCTION("""COMPUTED_VALUE"""),44459.0)</f>
        <v>44459</v>
      </c>
      <c r="C345" s="8">
        <f>IFERROR(__xludf.DUMMYFUNCTION("""COMPUTED_VALUE"""),5.9681605861E10)</f>
        <v>59681605861</v>
      </c>
    </row>
    <row r="346">
      <c r="A346" s="8" t="str">
        <f>IFERROR(__xludf.DUMMYFUNCTION("""COMPUTED_VALUE"""),"Augusto Tavares de Jesus")</f>
        <v>Augusto Tavares de Jesus</v>
      </c>
      <c r="B346" s="49">
        <f>IFERROR(__xludf.DUMMYFUNCTION("""COMPUTED_VALUE"""),45359.0)</f>
        <v>45359</v>
      </c>
      <c r="C346" s="8" t="str">
        <f>IFERROR(__xludf.DUMMYFUNCTION("""COMPUTED_VALUE"""),"02432841875")</f>
        <v>02432841875</v>
      </c>
    </row>
    <row r="347">
      <c r="A347" s="8" t="str">
        <f>IFERROR(__xludf.DUMMYFUNCTION("""COMPUTED_VALUE"""),"Bruno Tavares da Silva")</f>
        <v>Bruno Tavares da Silva</v>
      </c>
      <c r="B347" s="49">
        <f>IFERROR(__xludf.DUMMYFUNCTION("""COMPUTED_VALUE"""),33541.0)</f>
        <v>33541</v>
      </c>
      <c r="C347" s="8">
        <f>IFERROR(__xludf.DUMMYFUNCTION("""COMPUTED_VALUE"""),3.9832906805E10)</f>
        <v>39832906805</v>
      </c>
    </row>
    <row r="348">
      <c r="A348" s="8" t="str">
        <f>IFERROR(__xludf.DUMMYFUNCTION("""COMPUTED_VALUE"""),"Joelma Cláudia Silveira Ribeiro")</f>
        <v>Joelma Cláudia Silveira Ribeiro</v>
      </c>
      <c r="B348" s="49">
        <f>IFERROR(__xludf.DUMMYFUNCTION("""COMPUTED_VALUE"""),27096.0)</f>
        <v>27096</v>
      </c>
      <c r="C348" s="8">
        <f>IFERROR(__xludf.DUMMYFUNCTION("""COMPUTED_VALUE"""),9.008018152E10)</f>
        <v>90080181520</v>
      </c>
    </row>
    <row r="349">
      <c r="A349" s="8" t="str">
        <f>IFERROR(__xludf.DUMMYFUNCTION("""COMPUTED_VALUE"""),"Janice Mesquita Feitosa")</f>
        <v>Janice Mesquita Feitosa</v>
      </c>
      <c r="B349" s="49">
        <f>IFERROR(__xludf.DUMMYFUNCTION("""COMPUTED_VALUE"""),32984.0)</f>
        <v>32984</v>
      </c>
      <c r="C349" s="8" t="str">
        <f>IFERROR(__xludf.DUMMYFUNCTION("""COMPUTED_VALUE"""),"04248729350")</f>
        <v>04248729350</v>
      </c>
    </row>
    <row r="350">
      <c r="A350" s="8" t="str">
        <f>IFERROR(__xludf.DUMMYFUNCTION("""COMPUTED_VALUE"""),"José Siomar Santana Alves ")</f>
        <v>José Siomar Santana Alves </v>
      </c>
      <c r="B350" s="49">
        <f>IFERROR(__xludf.DUMMYFUNCTION("""COMPUTED_VALUE"""),26807.0)</f>
        <v>26807</v>
      </c>
      <c r="C350" s="8" t="str">
        <f>IFERROR(__xludf.DUMMYFUNCTION("""COMPUTED_VALUE"""),"558.672.605-00")</f>
        <v>558.672.605-00</v>
      </c>
    </row>
    <row r="351">
      <c r="A351" s="8" t="str">
        <f>IFERROR(__xludf.DUMMYFUNCTION("""COMPUTED_VALUE"""),"José Mateus Santana Martins ")</f>
        <v>José Mateus Santana Martins </v>
      </c>
      <c r="B351" s="49">
        <f>IFERROR(__xludf.DUMMYFUNCTION("""COMPUTED_VALUE"""),42221.0)</f>
        <v>42221</v>
      </c>
      <c r="C351" s="8" t="str">
        <f>IFERROR(__xludf.DUMMYFUNCTION("""COMPUTED_VALUE"""),"08821769518")</f>
        <v>08821769518</v>
      </c>
    </row>
    <row r="352">
      <c r="A352" s="8" t="str">
        <f>IFERROR(__xludf.DUMMYFUNCTION("""COMPUTED_VALUE"""),"Bruna guerra dias ")</f>
        <v>Bruna guerra dias </v>
      </c>
      <c r="B352" s="49">
        <f>IFERROR(__xludf.DUMMYFUNCTION("""COMPUTED_VALUE"""),32499.0)</f>
        <v>32499</v>
      </c>
      <c r="C352" s="8">
        <f>IFERROR(__xludf.DUMMYFUNCTION("""COMPUTED_VALUE"""),3.7123944895E10)</f>
        <v>37123944895</v>
      </c>
    </row>
    <row r="353">
      <c r="A353" s="8" t="str">
        <f>IFERROR(__xludf.DUMMYFUNCTION("""COMPUTED_VALUE"""),"Cesar Augusto Romero ")</f>
        <v>Cesar Augusto Romero </v>
      </c>
      <c r="B353" s="49">
        <f>IFERROR(__xludf.DUMMYFUNCTION("""COMPUTED_VALUE"""),28300.0)</f>
        <v>28300</v>
      </c>
      <c r="C353" s="8">
        <f>IFERROR(__xludf.DUMMYFUNCTION("""COMPUTED_VALUE"""),2.6556811858E10)</f>
        <v>26556811858</v>
      </c>
    </row>
    <row r="354">
      <c r="A354" s="8" t="str">
        <f>IFERROR(__xludf.DUMMYFUNCTION("""COMPUTED_VALUE"""),"Theo Dias Romero ")</f>
        <v>Theo Dias Romero </v>
      </c>
      <c r="B354" s="49">
        <f>IFERROR(__xludf.DUMMYFUNCTION("""COMPUTED_VALUE"""),42597.0)</f>
        <v>42597</v>
      </c>
      <c r="C354" s="8">
        <f>IFERROR(__xludf.DUMMYFUNCTION("""COMPUTED_VALUE"""),5.1635624878E10)</f>
        <v>51635624878</v>
      </c>
    </row>
    <row r="355">
      <c r="A355" s="8" t="str">
        <f>IFERROR(__xludf.DUMMYFUNCTION("""COMPUTED_VALUE"""),"Amanda Freitas borges Gonçalves ")</f>
        <v>Amanda Freitas borges Gonçalves </v>
      </c>
      <c r="B355" s="49">
        <f>IFERROR(__xludf.DUMMYFUNCTION("""COMPUTED_VALUE"""),36234.0)</f>
        <v>36234</v>
      </c>
      <c r="C355" s="8">
        <f>IFERROR(__xludf.DUMMYFUNCTION("""COMPUTED_VALUE"""),4.7372191858E10)</f>
        <v>47372191858</v>
      </c>
    </row>
    <row r="356">
      <c r="A356" s="8" t="str">
        <f>IFERROR(__xludf.DUMMYFUNCTION("""COMPUTED_VALUE"""),"Aline Aparecida Gomes de Moraes ")</f>
        <v>Aline Aparecida Gomes de Moraes </v>
      </c>
      <c r="B356" s="49">
        <f>IFERROR(__xludf.DUMMYFUNCTION("""COMPUTED_VALUE"""),36244.0)</f>
        <v>36244</v>
      </c>
      <c r="C356" s="8">
        <f>IFERROR(__xludf.DUMMYFUNCTION("""COMPUTED_VALUE"""),4.6526173802E10)</f>
        <v>46526173802</v>
      </c>
    </row>
    <row r="357">
      <c r="A357" s="8" t="str">
        <f>IFERROR(__xludf.DUMMYFUNCTION("""COMPUTED_VALUE"""),"Denise Schunck ")</f>
        <v>Denise Schunck </v>
      </c>
      <c r="B357" s="49">
        <f>IFERROR(__xludf.DUMMYFUNCTION("""COMPUTED_VALUE"""),31072.0)</f>
        <v>31072</v>
      </c>
      <c r="C357" s="8">
        <f>IFERROR(__xludf.DUMMYFUNCTION("""COMPUTED_VALUE"""),3.1304804801E10)</f>
        <v>31304804801</v>
      </c>
    </row>
    <row r="358">
      <c r="A358" s="8" t="str">
        <f>IFERROR(__xludf.DUMMYFUNCTION("""COMPUTED_VALUE"""),"Alex Sandro Melwtino Pinto ")</f>
        <v>Alex Sandro Melwtino Pinto </v>
      </c>
      <c r="B358" s="49">
        <f>IFERROR(__xludf.DUMMYFUNCTION("""COMPUTED_VALUE"""),32528.0)</f>
        <v>32528</v>
      </c>
      <c r="C358" s="8">
        <f>IFERROR(__xludf.DUMMYFUNCTION("""COMPUTED_VALUE"""),3.7482789855E10)</f>
        <v>37482789855</v>
      </c>
    </row>
    <row r="359">
      <c r="A359" s="8" t="str">
        <f>IFERROR(__xludf.DUMMYFUNCTION("""COMPUTED_VALUE"""),"Inês Schunck Meletino")</f>
        <v>Inês Schunck Meletino</v>
      </c>
      <c r="B359" s="49">
        <f>IFERROR(__xludf.DUMMYFUNCTION("""COMPUTED_VALUE"""),45768.0)</f>
        <v>45768</v>
      </c>
      <c r="C359" s="8">
        <f>IFERROR(__xludf.DUMMYFUNCTION("""COMPUTED_VALUE"""),9.235238803E9)</f>
        <v>9235238803</v>
      </c>
    </row>
    <row r="360">
      <c r="A360" s="8" t="str">
        <f>IFERROR(__xludf.DUMMYFUNCTION("""COMPUTED_VALUE"""),"ADRIANO PEREIRA XAVIER")</f>
        <v>ADRIANO PEREIRA XAVIER</v>
      </c>
      <c r="B360" s="49">
        <f>IFERROR(__xludf.DUMMYFUNCTION("""COMPUTED_VALUE"""),30505.0)</f>
        <v>30505</v>
      </c>
      <c r="C360" s="8" t="str">
        <f>IFERROR(__xludf.DUMMYFUNCTION("""COMPUTED_VALUE"""),"04520613930")</f>
        <v>04520613930</v>
      </c>
    </row>
    <row r="361">
      <c r="A361" s="8"/>
      <c r="B361" s="8"/>
      <c r="C361" s="8"/>
    </row>
    <row r="362">
      <c r="A362" s="8"/>
      <c r="B362" s="8"/>
      <c r="C362" s="8"/>
    </row>
    <row r="363">
      <c r="A363" s="8"/>
      <c r="B363" s="8"/>
      <c r="C363" s="8"/>
    </row>
    <row r="364">
      <c r="A364" s="8"/>
      <c r="B364" s="8"/>
      <c r="C364" s="8"/>
    </row>
    <row r="365">
      <c r="A365" s="8"/>
      <c r="B365" s="8"/>
      <c r="C365" s="8"/>
    </row>
    <row r="366">
      <c r="A366" s="8"/>
      <c r="B366" s="8"/>
      <c r="C366" s="8"/>
    </row>
    <row r="367">
      <c r="A367" s="8"/>
      <c r="B367" s="8"/>
      <c r="C367" s="8"/>
    </row>
    <row r="368">
      <c r="A368" s="8"/>
      <c r="B368" s="8"/>
      <c r="C368" s="8"/>
    </row>
    <row r="369">
      <c r="A369" s="8"/>
      <c r="B369" s="8"/>
      <c r="C369" s="8"/>
    </row>
    <row r="370">
      <c r="A370" s="8"/>
      <c r="B370" s="8"/>
      <c r="C370" s="8"/>
    </row>
    <row r="371">
      <c r="A371" s="8"/>
      <c r="B371" s="8"/>
      <c r="C371" s="8"/>
    </row>
    <row r="372">
      <c r="A372" s="8"/>
      <c r="B372" s="8"/>
      <c r="C372" s="8"/>
    </row>
    <row r="373">
      <c r="A373" s="8"/>
      <c r="B373" s="8"/>
      <c r="C373" s="8"/>
    </row>
    <row r="374">
      <c r="A374" s="8"/>
      <c r="B374" s="8"/>
      <c r="C374" s="8"/>
    </row>
    <row r="375">
      <c r="A375" s="8"/>
      <c r="B375" s="8"/>
      <c r="C375" s="8"/>
    </row>
    <row r="376">
      <c r="A376" s="8"/>
      <c r="B376" s="8"/>
      <c r="C376" s="8"/>
    </row>
    <row r="377">
      <c r="A377" s="8"/>
      <c r="B377" s="8"/>
      <c r="C377" s="8"/>
    </row>
    <row r="378">
      <c r="A378" s="8"/>
      <c r="B378" s="8"/>
      <c r="C378" s="8"/>
    </row>
    <row r="379">
      <c r="A379" s="8"/>
      <c r="B379" s="8"/>
      <c r="C379" s="8"/>
    </row>
    <row r="380">
      <c r="A380" s="8"/>
      <c r="B380" s="8"/>
      <c r="C380" s="8"/>
    </row>
    <row r="381">
      <c r="A381" s="8"/>
      <c r="B381" s="8"/>
      <c r="C381" s="8"/>
    </row>
    <row r="382">
      <c r="A382" s="8"/>
      <c r="B382" s="8"/>
      <c r="C382" s="8"/>
    </row>
    <row r="383">
      <c r="A383" s="8"/>
      <c r="B383" s="8"/>
      <c r="C383" s="8"/>
    </row>
    <row r="384">
      <c r="A384" s="8"/>
      <c r="B384" s="8"/>
      <c r="C384" s="8"/>
    </row>
    <row r="385">
      <c r="A385" s="8"/>
      <c r="B385" s="8"/>
      <c r="C385" s="8"/>
    </row>
    <row r="386">
      <c r="A386" s="8"/>
      <c r="B386" s="8"/>
      <c r="C386" s="8"/>
    </row>
    <row r="387">
      <c r="A387" s="8"/>
      <c r="B387" s="8"/>
      <c r="C387" s="8"/>
    </row>
    <row r="388">
      <c r="A388" s="8"/>
      <c r="B388" s="8"/>
      <c r="C388" s="8"/>
    </row>
    <row r="389">
      <c r="A389" s="8"/>
      <c r="B389" s="8"/>
      <c r="C389" s="8"/>
    </row>
    <row r="390">
      <c r="A390" s="8"/>
      <c r="B390" s="8"/>
      <c r="C390" s="8"/>
    </row>
    <row r="391">
      <c r="A391" s="8"/>
      <c r="B391" s="8"/>
      <c r="C391" s="8"/>
    </row>
    <row r="392">
      <c r="A392" s="8"/>
      <c r="B392" s="8"/>
      <c r="C392" s="8"/>
    </row>
    <row r="393">
      <c r="A393" s="8"/>
      <c r="B393" s="8"/>
      <c r="C393" s="8"/>
    </row>
    <row r="394">
      <c r="A394" s="8"/>
      <c r="B394" s="8"/>
      <c r="C394" s="8"/>
    </row>
    <row r="395">
      <c r="A395" s="8"/>
      <c r="B395" s="8"/>
      <c r="C395" s="8"/>
    </row>
    <row r="396">
      <c r="A396" s="8"/>
      <c r="B396" s="8"/>
      <c r="C396" s="8"/>
    </row>
    <row r="397">
      <c r="A397" s="8"/>
      <c r="B397" s="8"/>
      <c r="C397" s="8"/>
    </row>
    <row r="398">
      <c r="A398" s="8"/>
      <c r="B398" s="8"/>
      <c r="C398" s="8"/>
    </row>
    <row r="399">
      <c r="A399" s="8"/>
      <c r="B399" s="8"/>
      <c r="C399" s="8"/>
    </row>
    <row r="400">
      <c r="A400" s="8"/>
      <c r="B400" s="8"/>
      <c r="C400" s="8"/>
    </row>
    <row r="401">
      <c r="A401" s="8"/>
      <c r="B401" s="8"/>
      <c r="C401" s="8"/>
    </row>
    <row r="402">
      <c r="A402" s="8"/>
      <c r="B402" s="8"/>
      <c r="C402" s="8"/>
    </row>
    <row r="403">
      <c r="A403" s="8"/>
      <c r="B403" s="8"/>
      <c r="C403" s="8"/>
    </row>
    <row r="404">
      <c r="A404" s="8"/>
      <c r="B404" s="8"/>
      <c r="C404" s="8"/>
    </row>
    <row r="405">
      <c r="A405" s="8"/>
      <c r="B405" s="8"/>
      <c r="C405" s="8"/>
    </row>
    <row r="406">
      <c r="A406" s="8"/>
      <c r="B406" s="8"/>
      <c r="C406" s="8"/>
    </row>
    <row r="407">
      <c r="A407" s="8"/>
      <c r="B407" s="8"/>
      <c r="C407" s="8"/>
    </row>
    <row r="408">
      <c r="A408" s="8"/>
      <c r="B408" s="8"/>
      <c r="C408" s="8"/>
    </row>
    <row r="409">
      <c r="A409" s="8"/>
      <c r="B409" s="8"/>
      <c r="C409" s="8"/>
    </row>
    <row r="410">
      <c r="A410" s="8"/>
      <c r="B410" s="8"/>
      <c r="C410" s="8"/>
    </row>
    <row r="411">
      <c r="A411" s="8"/>
      <c r="B411" s="8"/>
      <c r="C411" s="8"/>
    </row>
    <row r="412">
      <c r="A412" s="8"/>
      <c r="B412" s="8"/>
      <c r="C412" s="8"/>
    </row>
    <row r="413">
      <c r="A413" s="8"/>
      <c r="B413" s="8"/>
      <c r="C413" s="8"/>
    </row>
    <row r="414">
      <c r="A414" s="8"/>
      <c r="B414" s="8"/>
      <c r="C414" s="8"/>
    </row>
    <row r="415">
      <c r="A415" s="8"/>
      <c r="B415" s="8"/>
      <c r="C415" s="8"/>
    </row>
    <row r="416">
      <c r="A416" s="8"/>
      <c r="B416" s="8"/>
      <c r="C416" s="8"/>
    </row>
    <row r="417">
      <c r="A417" s="8"/>
      <c r="B417" s="8"/>
      <c r="C417" s="8"/>
    </row>
    <row r="418">
      <c r="A418" s="8"/>
      <c r="B418" s="8"/>
      <c r="C418" s="8"/>
    </row>
    <row r="419">
      <c r="A419" s="8"/>
      <c r="B419" s="8"/>
      <c r="C419" s="8"/>
    </row>
    <row r="420">
      <c r="A420" s="8"/>
      <c r="B420" s="8"/>
      <c r="C420" s="8"/>
    </row>
    <row r="421">
      <c r="A421" s="8"/>
      <c r="B421" s="8"/>
      <c r="C421" s="8"/>
    </row>
    <row r="422">
      <c r="A422" s="8"/>
      <c r="B422" s="8"/>
      <c r="C422" s="8"/>
    </row>
    <row r="423">
      <c r="A423" s="8"/>
      <c r="B423" s="8"/>
      <c r="C423" s="8"/>
    </row>
    <row r="424">
      <c r="A424" s="8"/>
      <c r="B424" s="8"/>
      <c r="C424" s="8"/>
    </row>
    <row r="425">
      <c r="A425" s="8"/>
      <c r="B425" s="8"/>
      <c r="C425" s="8"/>
    </row>
    <row r="426">
      <c r="A426" s="8"/>
      <c r="B426" s="8"/>
      <c r="C426" s="8"/>
    </row>
    <row r="427">
      <c r="A427" s="8"/>
      <c r="B427" s="8"/>
      <c r="C427" s="8"/>
    </row>
    <row r="428">
      <c r="A428" s="8"/>
      <c r="B428" s="8"/>
      <c r="C428" s="8"/>
    </row>
    <row r="429">
      <c r="A429" s="8"/>
      <c r="B429" s="8"/>
      <c r="C429" s="8"/>
    </row>
    <row r="430">
      <c r="A430" s="8"/>
      <c r="B430" s="8"/>
      <c r="C430" s="8"/>
    </row>
    <row r="431">
      <c r="A431" s="8"/>
      <c r="B431" s="8"/>
      <c r="C431" s="8"/>
    </row>
    <row r="432">
      <c r="A432" s="8"/>
      <c r="B432" s="8"/>
      <c r="C432" s="8"/>
    </row>
    <row r="433">
      <c r="A433" s="8"/>
      <c r="B433" s="8"/>
      <c r="C433" s="8"/>
    </row>
    <row r="434">
      <c r="A434" s="8"/>
      <c r="B434" s="8"/>
      <c r="C434" s="8"/>
    </row>
    <row r="435">
      <c r="A435" s="8"/>
      <c r="B435" s="8"/>
      <c r="C435" s="8"/>
    </row>
    <row r="436">
      <c r="A436" s="8"/>
      <c r="B436" s="8"/>
      <c r="C436" s="8"/>
    </row>
    <row r="437">
      <c r="A437" s="8"/>
      <c r="B437" s="8"/>
      <c r="C437" s="8"/>
    </row>
    <row r="438">
      <c r="A438" s="8"/>
      <c r="B438" s="8"/>
      <c r="C438" s="8"/>
    </row>
    <row r="439">
      <c r="A439" s="8"/>
      <c r="B439" s="8"/>
      <c r="C439" s="8"/>
    </row>
    <row r="440">
      <c r="A440" s="8"/>
      <c r="B440" s="8"/>
      <c r="C440" s="8"/>
    </row>
    <row r="441">
      <c r="A441" s="8"/>
      <c r="B441" s="8"/>
      <c r="C441" s="8"/>
    </row>
    <row r="442">
      <c r="A442" s="8"/>
      <c r="B442" s="8"/>
      <c r="C442" s="8"/>
    </row>
    <row r="443">
      <c r="A443" s="8"/>
      <c r="B443" s="8"/>
      <c r="C443" s="8"/>
    </row>
    <row r="444">
      <c r="A444" s="8"/>
      <c r="B444" s="8"/>
      <c r="C444" s="8"/>
    </row>
    <row r="445">
      <c r="A445" s="8"/>
      <c r="B445" s="8"/>
      <c r="C445" s="8"/>
    </row>
    <row r="446">
      <c r="A446" s="8"/>
      <c r="B446" s="8"/>
      <c r="C446" s="8"/>
    </row>
    <row r="447">
      <c r="A447" s="8"/>
      <c r="B447" s="8"/>
      <c r="C447" s="8"/>
    </row>
    <row r="448">
      <c r="A448" s="8"/>
      <c r="B448" s="8"/>
      <c r="C448" s="8"/>
    </row>
    <row r="449">
      <c r="A449" s="8"/>
      <c r="B449" s="8"/>
      <c r="C449" s="8"/>
    </row>
    <row r="450">
      <c r="A450" s="8"/>
      <c r="B450" s="8"/>
      <c r="C450" s="8"/>
    </row>
    <row r="451">
      <c r="A451" s="8"/>
      <c r="B451" s="8"/>
      <c r="C451" s="8"/>
    </row>
    <row r="452">
      <c r="A452" s="8"/>
      <c r="B452" s="8"/>
      <c r="C452" s="8"/>
    </row>
    <row r="453">
      <c r="A453" s="8"/>
      <c r="B453" s="8"/>
      <c r="C453" s="8"/>
    </row>
    <row r="454">
      <c r="A454" s="8"/>
      <c r="B454" s="8"/>
      <c r="C454" s="8"/>
    </row>
    <row r="455">
      <c r="A455" s="8"/>
      <c r="B455" s="8"/>
      <c r="C455" s="8"/>
    </row>
    <row r="456">
      <c r="A456" s="8"/>
      <c r="B456" s="8"/>
      <c r="C456" s="8"/>
    </row>
    <row r="457">
      <c r="A457" s="8"/>
      <c r="B457" s="8"/>
      <c r="C457" s="8"/>
    </row>
    <row r="458">
      <c r="A458" s="8"/>
      <c r="B458" s="8"/>
      <c r="C458" s="8"/>
    </row>
    <row r="459">
      <c r="A459" s="8"/>
      <c r="B459" s="8"/>
      <c r="C459" s="8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0"/>
    <col customWidth="1" min="2" max="2" width="23.38"/>
    <col customWidth="1" min="3" max="3" width="9.38"/>
    <col customWidth="1" min="4" max="4" width="16.88"/>
    <col customWidth="1" min="5" max="5" width="14.38"/>
    <col customWidth="1" min="6" max="6" width="35.25"/>
    <col customWidth="1" hidden="1" min="7" max="7" width="13.38"/>
    <col customWidth="1" hidden="1" min="8" max="8" width="12.63"/>
    <col customWidth="1" hidden="1" min="9" max="9" width="9.38"/>
    <col customWidth="1" min="10" max="10" width="10.13"/>
    <col customWidth="1" min="11" max="11" width="5.88"/>
    <col customWidth="1" min="12" max="12" width="5.63"/>
    <col customWidth="1" min="13" max="13" width="14.0"/>
    <col customWidth="1" min="14" max="14" width="12.13"/>
  </cols>
  <sheetData>
    <row r="1">
      <c r="A1" s="29" t="s">
        <v>136</v>
      </c>
      <c r="B1" s="29" t="s">
        <v>137</v>
      </c>
      <c r="C1" s="29" t="s">
        <v>81</v>
      </c>
      <c r="D1" s="29" t="s">
        <v>138</v>
      </c>
      <c r="E1" s="29" t="s">
        <v>45</v>
      </c>
      <c r="F1" s="29" t="s">
        <v>139</v>
      </c>
      <c r="G1" s="29" t="s">
        <v>140</v>
      </c>
      <c r="H1" s="29" t="s">
        <v>52</v>
      </c>
      <c r="I1" s="29" t="s">
        <v>53</v>
      </c>
      <c r="J1" s="44" t="s">
        <v>82</v>
      </c>
      <c r="K1" s="29" t="s">
        <v>141</v>
      </c>
      <c r="L1" s="29" t="s">
        <v>142</v>
      </c>
      <c r="M1" s="29" t="s">
        <v>143</v>
      </c>
      <c r="N1" s="31" t="s">
        <v>144</v>
      </c>
    </row>
    <row r="2">
      <c r="A2" s="51">
        <v>45805.0</v>
      </c>
      <c r="B2" s="41">
        <v>15.0</v>
      </c>
      <c r="C2" s="51">
        <v>45810.0</v>
      </c>
      <c r="D2" s="41" t="s">
        <v>145</v>
      </c>
      <c r="E2" s="41" t="s">
        <v>146</v>
      </c>
      <c r="F2" s="41" t="s">
        <v>147</v>
      </c>
      <c r="G2" s="52" t="s">
        <v>148</v>
      </c>
      <c r="H2" s="52" t="s">
        <v>149</v>
      </c>
      <c r="I2" s="53">
        <v>34137.0</v>
      </c>
      <c r="J2" s="54">
        <f t="shared" ref="J2:J12" si="1">N$2</f>
        <v>174</v>
      </c>
      <c r="K2" s="17">
        <v>111.07</v>
      </c>
      <c r="M2" s="17" t="s">
        <v>54</v>
      </c>
      <c r="N2" s="11">
        <v>174.0</v>
      </c>
    </row>
    <row r="3">
      <c r="A3" s="51">
        <v>45805.0</v>
      </c>
      <c r="B3" s="41">
        <v>16.0</v>
      </c>
      <c r="C3" s="51">
        <v>45811.0</v>
      </c>
      <c r="D3" s="41" t="s">
        <v>146</v>
      </c>
      <c r="E3" s="41" t="s">
        <v>145</v>
      </c>
      <c r="F3" s="41" t="s">
        <v>147</v>
      </c>
      <c r="G3" s="52" t="s">
        <v>148</v>
      </c>
      <c r="H3" s="52" t="s">
        <v>149</v>
      </c>
      <c r="I3" s="53">
        <v>34137.0</v>
      </c>
      <c r="J3" s="54">
        <f t="shared" si="1"/>
        <v>174</v>
      </c>
    </row>
    <row r="4">
      <c r="A4" s="51">
        <v>45805.0</v>
      </c>
      <c r="B4" s="41">
        <v>17.0</v>
      </c>
      <c r="C4" s="51">
        <v>45810.0</v>
      </c>
      <c r="D4" s="41" t="s">
        <v>145</v>
      </c>
      <c r="E4" s="41" t="s">
        <v>146</v>
      </c>
      <c r="F4" s="41" t="s">
        <v>150</v>
      </c>
      <c r="G4" s="52" t="s">
        <v>151</v>
      </c>
      <c r="H4" s="52" t="s">
        <v>152</v>
      </c>
      <c r="I4" s="53">
        <v>23886.0</v>
      </c>
      <c r="J4" s="54">
        <f t="shared" si="1"/>
        <v>174</v>
      </c>
      <c r="K4" s="17">
        <v>111.07</v>
      </c>
    </row>
    <row r="5">
      <c r="A5" s="51">
        <v>45805.0</v>
      </c>
      <c r="B5" s="41">
        <v>18.0</v>
      </c>
      <c r="C5" s="51">
        <v>45811.0</v>
      </c>
      <c r="D5" s="41" t="s">
        <v>146</v>
      </c>
      <c r="E5" s="41" t="s">
        <v>145</v>
      </c>
      <c r="F5" s="41" t="s">
        <v>150</v>
      </c>
      <c r="G5" s="52" t="s">
        <v>151</v>
      </c>
      <c r="H5" s="52" t="s">
        <v>152</v>
      </c>
      <c r="I5" s="53">
        <v>23886.0</v>
      </c>
      <c r="J5" s="54">
        <f t="shared" si="1"/>
        <v>174</v>
      </c>
    </row>
    <row r="6">
      <c r="A6" s="51">
        <v>45824.0</v>
      </c>
      <c r="B6" s="41">
        <v>19.0</v>
      </c>
      <c r="C6" s="51">
        <v>45823.0</v>
      </c>
      <c r="D6" s="41" t="s">
        <v>145</v>
      </c>
      <c r="E6" s="41" t="s">
        <v>146</v>
      </c>
      <c r="F6" s="41" t="s">
        <v>153</v>
      </c>
      <c r="G6" s="52" t="s">
        <v>154</v>
      </c>
      <c r="H6" s="52" t="s">
        <v>155</v>
      </c>
      <c r="I6" s="55">
        <v>29124.0</v>
      </c>
      <c r="J6" s="54">
        <f t="shared" si="1"/>
        <v>174</v>
      </c>
    </row>
    <row r="7">
      <c r="A7" s="51">
        <v>45824.0</v>
      </c>
      <c r="B7" s="41">
        <v>20.0</v>
      </c>
      <c r="C7" s="51">
        <v>45824.0</v>
      </c>
      <c r="D7" s="41" t="s">
        <v>146</v>
      </c>
      <c r="E7" s="41" t="s">
        <v>145</v>
      </c>
      <c r="F7" s="41" t="s">
        <v>153</v>
      </c>
      <c r="G7" s="56"/>
      <c r="H7" s="52" t="s">
        <v>134</v>
      </c>
      <c r="I7" s="52" t="s">
        <v>134</v>
      </c>
      <c r="J7" s="54">
        <f t="shared" si="1"/>
        <v>174</v>
      </c>
    </row>
    <row r="8">
      <c r="A8" s="51">
        <v>45826.0</v>
      </c>
      <c r="B8" s="41">
        <v>21.0</v>
      </c>
      <c r="C8" s="51">
        <v>45832.0</v>
      </c>
      <c r="D8" s="41" t="s">
        <v>145</v>
      </c>
      <c r="E8" s="41" t="s">
        <v>146</v>
      </c>
      <c r="F8" s="41" t="s">
        <v>156</v>
      </c>
      <c r="G8" s="56"/>
      <c r="H8" s="56"/>
      <c r="I8" s="56"/>
      <c r="J8" s="54">
        <f t="shared" si="1"/>
        <v>174</v>
      </c>
    </row>
    <row r="9">
      <c r="A9" s="51">
        <v>45831.0</v>
      </c>
      <c r="B9" s="41">
        <v>22.0</v>
      </c>
      <c r="C9" s="51">
        <v>45838.0</v>
      </c>
      <c r="D9" s="41" t="s">
        <v>146</v>
      </c>
      <c r="E9" s="41" t="s">
        <v>145</v>
      </c>
      <c r="F9" s="41" t="s">
        <v>157</v>
      </c>
      <c r="G9" s="56"/>
      <c r="H9" s="56"/>
      <c r="I9" s="56"/>
      <c r="J9" s="54">
        <f t="shared" si="1"/>
        <v>174</v>
      </c>
    </row>
    <row r="10">
      <c r="A10" s="51">
        <v>45831.0</v>
      </c>
      <c r="B10" s="41">
        <v>23.0</v>
      </c>
      <c r="C10" s="51">
        <v>45837.0</v>
      </c>
      <c r="D10" s="41" t="s">
        <v>145</v>
      </c>
      <c r="E10" s="41" t="s">
        <v>146</v>
      </c>
      <c r="F10" s="41" t="s">
        <v>158</v>
      </c>
      <c r="G10" s="56"/>
      <c r="H10" s="56"/>
      <c r="I10" s="56"/>
      <c r="J10" s="54">
        <f t="shared" si="1"/>
        <v>174</v>
      </c>
    </row>
    <row r="11">
      <c r="A11" s="51">
        <v>45831.0</v>
      </c>
      <c r="B11" s="41">
        <v>24.0</v>
      </c>
      <c r="C11" s="51">
        <v>45837.0</v>
      </c>
      <c r="D11" s="41" t="s">
        <v>145</v>
      </c>
      <c r="E11" s="41" t="s">
        <v>146</v>
      </c>
      <c r="F11" s="41" t="s">
        <v>157</v>
      </c>
      <c r="G11" s="56"/>
      <c r="H11" s="56"/>
      <c r="I11" s="56"/>
      <c r="J11" s="54">
        <f t="shared" si="1"/>
        <v>174</v>
      </c>
    </row>
    <row r="12">
      <c r="A12" s="51">
        <v>45831.0</v>
      </c>
      <c r="B12" s="41">
        <v>25.0</v>
      </c>
      <c r="C12" s="51">
        <v>45838.0</v>
      </c>
      <c r="D12" s="41" t="s">
        <v>146</v>
      </c>
      <c r="E12" s="41" t="s">
        <v>145</v>
      </c>
      <c r="F12" s="41" t="s">
        <v>158</v>
      </c>
      <c r="G12" s="56"/>
      <c r="H12" s="52" t="s">
        <v>134</v>
      </c>
      <c r="I12" s="52" t="s">
        <v>134</v>
      </c>
      <c r="J12" s="54">
        <f t="shared" si="1"/>
        <v>174</v>
      </c>
    </row>
    <row r="13">
      <c r="A13" s="53"/>
      <c r="B13" s="57"/>
      <c r="C13" s="53"/>
      <c r="D13" s="52"/>
      <c r="E13" s="52"/>
      <c r="F13" s="29" t="s">
        <v>79</v>
      </c>
      <c r="G13" s="29"/>
      <c r="H13" s="29"/>
      <c r="I13" s="58"/>
      <c r="J13" s="59">
        <f>SUM(J2:J12)</f>
        <v>1914</v>
      </c>
    </row>
    <row r="14">
      <c r="A14" s="26"/>
      <c r="B14" s="17"/>
      <c r="C14" s="26"/>
      <c r="D14" s="17"/>
      <c r="E14" s="17"/>
      <c r="F14" s="17"/>
      <c r="G14" s="17"/>
      <c r="H14" s="17"/>
      <c r="I14" s="26"/>
    </row>
    <row r="15">
      <c r="A15" s="60" t="s">
        <v>159</v>
      </c>
      <c r="B15" s="61"/>
      <c r="C15" s="61"/>
      <c r="D15" s="61"/>
      <c r="E15" s="61"/>
      <c r="F15" s="61"/>
      <c r="G15" s="61"/>
      <c r="H15" s="61"/>
      <c r="I15" s="61"/>
      <c r="J15" s="62"/>
    </row>
    <row r="16">
      <c r="A16" s="53">
        <v>45834.0</v>
      </c>
      <c r="B16" s="52">
        <v>26.0</v>
      </c>
      <c r="C16" s="53">
        <v>45839.0</v>
      </c>
      <c r="D16" s="52" t="s">
        <v>145</v>
      </c>
      <c r="E16" s="52" t="s">
        <v>146</v>
      </c>
      <c r="F16" s="52" t="s">
        <v>160</v>
      </c>
      <c r="G16" s="52" t="s">
        <v>154</v>
      </c>
      <c r="H16" s="52" t="s">
        <v>161</v>
      </c>
      <c r="I16" s="53">
        <v>33330.0</v>
      </c>
      <c r="J16" s="54">
        <f t="shared" ref="J16:J19" si="2">N$2</f>
        <v>174</v>
      </c>
    </row>
    <row r="17">
      <c r="A17" s="53">
        <v>45834.0</v>
      </c>
      <c r="B17" s="52">
        <v>29.0</v>
      </c>
      <c r="C17" s="53">
        <v>45839.0</v>
      </c>
      <c r="D17" s="52" t="s">
        <v>145</v>
      </c>
      <c r="E17" s="52" t="s">
        <v>146</v>
      </c>
      <c r="F17" s="52" t="s">
        <v>162</v>
      </c>
      <c r="G17" s="52" t="s">
        <v>163</v>
      </c>
      <c r="H17" s="52" t="s">
        <v>164</v>
      </c>
      <c r="I17" s="53">
        <v>25629.0</v>
      </c>
      <c r="J17" s="54">
        <f t="shared" si="2"/>
        <v>174</v>
      </c>
    </row>
    <row r="18">
      <c r="A18" s="53">
        <v>45834.0</v>
      </c>
      <c r="B18" s="52">
        <v>27.0</v>
      </c>
      <c r="C18" s="53">
        <v>45840.0</v>
      </c>
      <c r="D18" s="52" t="s">
        <v>146</v>
      </c>
      <c r="E18" s="52" t="s">
        <v>145</v>
      </c>
      <c r="F18" s="52" t="s">
        <v>160</v>
      </c>
      <c r="G18" s="52" t="s">
        <v>154</v>
      </c>
      <c r="H18" s="52" t="s">
        <v>161</v>
      </c>
      <c r="I18" s="53">
        <v>33330.0</v>
      </c>
      <c r="J18" s="54">
        <f t="shared" si="2"/>
        <v>174</v>
      </c>
    </row>
    <row r="19">
      <c r="A19" s="53">
        <v>45834.0</v>
      </c>
      <c r="B19" s="52">
        <v>28.0</v>
      </c>
      <c r="C19" s="53">
        <v>45840.0</v>
      </c>
      <c r="D19" s="52" t="s">
        <v>146</v>
      </c>
      <c r="E19" s="52" t="s">
        <v>145</v>
      </c>
      <c r="F19" s="52" t="s">
        <v>162</v>
      </c>
      <c r="G19" s="52" t="s">
        <v>163</v>
      </c>
      <c r="H19" s="52" t="s">
        <v>164</v>
      </c>
      <c r="I19" s="53">
        <v>25629.0</v>
      </c>
      <c r="J19" s="54">
        <f t="shared" si="2"/>
        <v>174</v>
      </c>
    </row>
    <row r="20">
      <c r="B20" s="63"/>
      <c r="C20" s="63"/>
      <c r="F20" s="29" t="s">
        <v>79</v>
      </c>
      <c r="G20" s="29"/>
      <c r="H20" s="29"/>
      <c r="I20" s="58"/>
      <c r="J20" s="59">
        <f>SUM(J16:J19)</f>
        <v>696</v>
      </c>
    </row>
    <row r="21">
      <c r="A21" s="60" t="s">
        <v>165</v>
      </c>
      <c r="B21" s="61"/>
      <c r="C21" s="61"/>
      <c r="D21" s="61"/>
      <c r="E21" s="61"/>
      <c r="F21" s="61"/>
      <c r="G21" s="61"/>
      <c r="H21" s="61"/>
      <c r="I21" s="61"/>
      <c r="J21" s="62"/>
    </row>
    <row r="22">
      <c r="A22" s="51">
        <v>45863.0</v>
      </c>
      <c r="B22" s="41">
        <v>30.0</v>
      </c>
      <c r="C22" s="41" t="s">
        <v>134</v>
      </c>
      <c r="D22" s="64" t="s">
        <v>166</v>
      </c>
      <c r="E22" s="41" t="s">
        <v>134</v>
      </c>
      <c r="F22" s="41" t="s">
        <v>134</v>
      </c>
      <c r="G22" s="65"/>
      <c r="H22" s="65"/>
      <c r="I22" s="65"/>
      <c r="J22" s="42">
        <v>0.0</v>
      </c>
    </row>
    <row r="23">
      <c r="A23" s="51">
        <v>45863.0</v>
      </c>
      <c r="B23" s="41">
        <v>31.0</v>
      </c>
      <c r="C23" s="41" t="s">
        <v>134</v>
      </c>
      <c r="D23" s="64" t="s">
        <v>166</v>
      </c>
      <c r="E23" s="41" t="s">
        <v>134</v>
      </c>
      <c r="F23" s="41" t="s">
        <v>134</v>
      </c>
      <c r="G23" s="65"/>
      <c r="H23" s="65"/>
      <c r="I23" s="65"/>
      <c r="J23" s="42">
        <v>0.0</v>
      </c>
    </row>
    <row r="24">
      <c r="A24" s="51">
        <v>45877.0</v>
      </c>
      <c r="B24" s="41">
        <v>32.0</v>
      </c>
      <c r="C24" s="51">
        <v>45877.0</v>
      </c>
      <c r="D24" s="41" t="s">
        <v>145</v>
      </c>
      <c r="E24" s="41" t="s">
        <v>167</v>
      </c>
      <c r="F24" s="41" t="s">
        <v>168</v>
      </c>
      <c r="G24" s="65"/>
      <c r="H24" s="65"/>
      <c r="I24" s="65"/>
      <c r="J24" s="66">
        <f t="shared" ref="J24:J28" si="3">N$2</f>
        <v>174</v>
      </c>
    </row>
    <row r="25">
      <c r="A25" s="51">
        <v>45889.0</v>
      </c>
      <c r="B25" s="41">
        <v>33.0</v>
      </c>
      <c r="C25" s="67">
        <v>45893.0</v>
      </c>
      <c r="D25" s="41" t="s">
        <v>145</v>
      </c>
      <c r="E25" s="41" t="s">
        <v>146</v>
      </c>
      <c r="F25" s="41" t="s">
        <v>147</v>
      </c>
      <c r="G25" s="65"/>
      <c r="H25" s="65"/>
      <c r="I25" s="65"/>
      <c r="J25" s="66">
        <f t="shared" si="3"/>
        <v>174</v>
      </c>
    </row>
    <row r="26">
      <c r="A26" s="51">
        <v>45889.0</v>
      </c>
      <c r="B26" s="41">
        <v>35.0</v>
      </c>
      <c r="C26" s="67">
        <v>45893.0</v>
      </c>
      <c r="D26" s="41" t="s">
        <v>145</v>
      </c>
      <c r="E26" s="41" t="s">
        <v>146</v>
      </c>
      <c r="F26" s="41" t="s">
        <v>169</v>
      </c>
      <c r="G26" s="65"/>
      <c r="H26" s="65"/>
      <c r="I26" s="65"/>
      <c r="J26" s="66">
        <f t="shared" si="3"/>
        <v>174</v>
      </c>
    </row>
    <row r="27">
      <c r="A27" s="51">
        <v>45889.0</v>
      </c>
      <c r="B27" s="41">
        <v>34.0</v>
      </c>
      <c r="C27" s="67">
        <v>45894.0</v>
      </c>
      <c r="D27" s="41" t="s">
        <v>146</v>
      </c>
      <c r="E27" s="41" t="s">
        <v>145</v>
      </c>
      <c r="F27" s="41" t="s">
        <v>147</v>
      </c>
      <c r="G27" s="65"/>
      <c r="H27" s="65"/>
      <c r="I27" s="65"/>
      <c r="J27" s="66">
        <f t="shared" si="3"/>
        <v>174</v>
      </c>
    </row>
    <row r="28">
      <c r="A28" s="51">
        <v>45889.0</v>
      </c>
      <c r="B28" s="41">
        <v>36.0</v>
      </c>
      <c r="C28" s="67">
        <v>45894.0</v>
      </c>
      <c r="D28" s="41" t="s">
        <v>146</v>
      </c>
      <c r="E28" s="41" t="s">
        <v>145</v>
      </c>
      <c r="F28" s="41" t="s">
        <v>169</v>
      </c>
      <c r="G28" s="65"/>
      <c r="H28" s="65"/>
      <c r="I28" s="65"/>
      <c r="J28" s="66">
        <f t="shared" si="3"/>
        <v>174</v>
      </c>
    </row>
    <row r="29">
      <c r="B29" s="63"/>
      <c r="F29" s="29" t="s">
        <v>79</v>
      </c>
      <c r="G29" s="29"/>
      <c r="H29" s="29"/>
      <c r="I29" s="58"/>
      <c r="J29" s="59">
        <f>SUM(J22:J28)</f>
        <v>870</v>
      </c>
      <c r="M29" s="17" t="s">
        <v>56</v>
      </c>
    </row>
    <row r="30">
      <c r="A30" s="60" t="s">
        <v>170</v>
      </c>
      <c r="B30" s="61"/>
      <c r="C30" s="61"/>
      <c r="D30" s="61"/>
      <c r="E30" s="61"/>
      <c r="F30" s="61"/>
      <c r="G30" s="61"/>
      <c r="H30" s="61"/>
      <c r="I30" s="61"/>
      <c r="J30" s="62"/>
    </row>
    <row r="31">
      <c r="A31" s="51">
        <v>45923.0</v>
      </c>
      <c r="B31" s="41">
        <v>37.0</v>
      </c>
      <c r="C31" s="51">
        <v>45931.0</v>
      </c>
      <c r="D31" s="64" t="s">
        <v>145</v>
      </c>
      <c r="E31" s="41" t="s">
        <v>146</v>
      </c>
      <c r="F31" s="41" t="s">
        <v>171</v>
      </c>
      <c r="G31" s="65"/>
      <c r="H31" s="65"/>
      <c r="I31" s="65"/>
      <c r="J31" s="42">
        <v>174.0</v>
      </c>
      <c r="K31" s="17">
        <v>183.6</v>
      </c>
    </row>
    <row r="32">
      <c r="A32" s="51">
        <v>45923.0</v>
      </c>
      <c r="B32" s="41">
        <v>38.0</v>
      </c>
      <c r="C32" s="51">
        <v>45932.0</v>
      </c>
      <c r="D32" s="64" t="s">
        <v>146</v>
      </c>
      <c r="E32" s="41" t="s">
        <v>145</v>
      </c>
      <c r="F32" s="41" t="s">
        <v>171</v>
      </c>
      <c r="G32" s="65"/>
      <c r="H32" s="65"/>
      <c r="I32" s="65"/>
      <c r="J32" s="42">
        <v>174.0</v>
      </c>
      <c r="K32" s="17">
        <v>183.6</v>
      </c>
      <c r="M32" s="17" t="s">
        <v>56</v>
      </c>
    </row>
    <row r="33">
      <c r="A33" s="51"/>
      <c r="B33" s="41"/>
      <c r="C33" s="41"/>
      <c r="D33" s="64"/>
      <c r="E33" s="41"/>
      <c r="F33" s="41"/>
      <c r="G33" s="65"/>
      <c r="H33" s="65"/>
      <c r="I33" s="65"/>
      <c r="J33" s="42"/>
    </row>
    <row r="34">
      <c r="A34" s="51"/>
      <c r="B34" s="41"/>
      <c r="C34" s="41"/>
      <c r="D34" s="64"/>
      <c r="E34" s="41"/>
      <c r="F34" s="41"/>
      <c r="G34" s="65"/>
      <c r="H34" s="65"/>
      <c r="I34" s="65"/>
      <c r="J34" s="42">
        <f>J32+(J32*0.2)</f>
        <v>208.8</v>
      </c>
    </row>
    <row r="35">
      <c r="A35" s="51"/>
      <c r="B35" s="41"/>
      <c r="C35" s="41"/>
      <c r="D35" s="64"/>
      <c r="E35" s="41"/>
      <c r="F35" s="41"/>
      <c r="G35" s="65"/>
      <c r="H35" s="65"/>
      <c r="I35" s="65"/>
      <c r="J35" s="42"/>
    </row>
    <row r="36">
      <c r="A36" s="60" t="s">
        <v>172</v>
      </c>
      <c r="B36" s="61"/>
      <c r="C36" s="61"/>
      <c r="D36" s="61"/>
      <c r="E36" s="61"/>
      <c r="F36" s="61"/>
      <c r="G36" s="61"/>
      <c r="H36" s="61"/>
      <c r="I36" s="61"/>
      <c r="J36" s="62"/>
      <c r="M36" s="17" t="s">
        <v>173</v>
      </c>
    </row>
    <row r="37">
      <c r="A37" s="68">
        <v>46066.0</v>
      </c>
      <c r="B37" s="41">
        <v>1.0</v>
      </c>
      <c r="C37" s="69">
        <v>46071.0</v>
      </c>
      <c r="D37" s="70" t="s">
        <v>145</v>
      </c>
      <c r="E37" s="71" t="s">
        <v>146</v>
      </c>
      <c r="F37" s="72" t="s">
        <v>174</v>
      </c>
      <c r="G37" s="65"/>
      <c r="H37" s="65"/>
      <c r="I37" s="65"/>
      <c r="J37" s="42">
        <v>174.0</v>
      </c>
      <c r="M37" s="73" t="s">
        <v>175</v>
      </c>
    </row>
    <row r="38">
      <c r="A38" s="68">
        <v>46066.0</v>
      </c>
      <c r="B38" s="41">
        <v>2.0</v>
      </c>
      <c r="C38" s="69">
        <v>46072.0</v>
      </c>
      <c r="D38" s="70" t="s">
        <v>146</v>
      </c>
      <c r="E38" s="71" t="s">
        <v>145</v>
      </c>
      <c r="F38" s="72" t="s">
        <v>174</v>
      </c>
      <c r="G38" s="65"/>
      <c r="H38" s="65"/>
      <c r="I38" s="65"/>
      <c r="J38" s="42">
        <v>174.0</v>
      </c>
    </row>
    <row r="40">
      <c r="J40" s="42">
        <f>J38+J37</f>
        <v>348</v>
      </c>
      <c r="M40" s="17" t="s">
        <v>176</v>
      </c>
      <c r="N40" s="17" t="s">
        <v>177</v>
      </c>
    </row>
  </sheetData>
  <mergeCells count="4">
    <mergeCell ref="A15:J15"/>
    <mergeCell ref="A21:J21"/>
    <mergeCell ref="A30:J30"/>
    <mergeCell ref="A36:J36"/>
  </mergeCells>
  <dataValidations>
    <dataValidation type="list" allowBlank="1" showErrorMessage="1" sqref="D31:E32 D37:E38">
      <formula1>"LINS - SP,SÃO PAULO - SP,-"</formula1>
    </dataValidation>
    <dataValidation type="list" allowBlank="1" showErrorMessage="1" sqref="N40">
      <formula1>"SIM,NÃO"</formula1>
    </dataValidation>
    <dataValidation type="list" allowBlank="1" showErrorMessage="1" sqref="M40">
      <formula1>"PAGO,EM ABERTO"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5"/>
    <col customWidth="1" min="2" max="2" width="12.13"/>
    <col customWidth="1" min="3" max="3" width="11.75"/>
    <col customWidth="1" min="4" max="4" width="10.5"/>
    <col customWidth="1" min="5" max="5" width="31.63"/>
    <col customWidth="1" min="6" max="6" width="8.88"/>
    <col customWidth="1" min="7" max="7" width="11.0"/>
    <col customWidth="1" min="8" max="8" width="18.38"/>
    <col customWidth="1" min="9" max="9" width="11.0"/>
    <col customWidth="1" min="10" max="10" width="11.5"/>
    <col customWidth="1" min="11" max="11" width="11.25"/>
    <col customWidth="1" min="12" max="13" width="10.13"/>
    <col customWidth="1" min="14" max="14" width="18.0"/>
  </cols>
  <sheetData>
    <row r="1">
      <c r="A1" s="29" t="s">
        <v>178</v>
      </c>
      <c r="B1" s="29" t="s">
        <v>179</v>
      </c>
      <c r="C1" s="29" t="s">
        <v>180</v>
      </c>
      <c r="D1" s="29" t="s">
        <v>181</v>
      </c>
      <c r="E1" s="29" t="s">
        <v>51</v>
      </c>
      <c r="F1" s="29" t="s">
        <v>182</v>
      </c>
      <c r="G1" s="29" t="s">
        <v>183</v>
      </c>
      <c r="H1" s="29" t="s">
        <v>184</v>
      </c>
      <c r="I1" s="29" t="s">
        <v>7</v>
      </c>
      <c r="J1" s="30" t="s">
        <v>185</v>
      </c>
      <c r="K1" s="30" t="s">
        <v>186</v>
      </c>
      <c r="L1" s="29" t="s">
        <v>187</v>
      </c>
      <c r="M1" s="29" t="s">
        <v>10</v>
      </c>
      <c r="N1" s="29" t="s">
        <v>143</v>
      </c>
      <c r="O1" s="31" t="s">
        <v>144</v>
      </c>
    </row>
    <row r="2">
      <c r="A2" s="53">
        <v>45803.0</v>
      </c>
      <c r="B2" s="53">
        <v>45824.0</v>
      </c>
      <c r="C2" s="74">
        <v>45827.0</v>
      </c>
      <c r="D2" s="52">
        <f t="shared" ref="D2:D5" si="1">IF(C2-B2=0,"",C2-B2)</f>
        <v>3</v>
      </c>
      <c r="E2" s="75" t="s">
        <v>188</v>
      </c>
      <c r="F2" s="52">
        <v>4.0</v>
      </c>
      <c r="G2" s="54">
        <f t="shared" ref="G2:G4" si="2">D2*O$3</f>
        <v>1109.61</v>
      </c>
      <c r="H2" s="54">
        <f t="shared" ref="H2:H4" si="3">F2*O$4</f>
        <v>759.92</v>
      </c>
      <c r="I2" s="54">
        <f t="shared" ref="I2:I4" si="4">G2+H2</f>
        <v>1869.53</v>
      </c>
      <c r="J2" s="36"/>
      <c r="K2" s="36"/>
      <c r="L2" s="17"/>
      <c r="M2" s="17" t="s">
        <v>177</v>
      </c>
      <c r="N2" s="17" t="s">
        <v>189</v>
      </c>
      <c r="O2" s="17">
        <v>2025.0</v>
      </c>
    </row>
    <row r="3">
      <c r="A3" s="53">
        <v>45803.0</v>
      </c>
      <c r="B3" s="53">
        <v>45825.0</v>
      </c>
      <c r="C3" s="74">
        <v>45827.0</v>
      </c>
      <c r="D3" s="52">
        <f t="shared" si="1"/>
        <v>2</v>
      </c>
      <c r="E3" s="52" t="s">
        <v>190</v>
      </c>
      <c r="F3" s="52">
        <v>3.0</v>
      </c>
      <c r="G3" s="54">
        <f t="shared" si="2"/>
        <v>739.74</v>
      </c>
      <c r="H3" s="54">
        <f t="shared" si="3"/>
        <v>569.94</v>
      </c>
      <c r="I3" s="54">
        <f t="shared" si="4"/>
        <v>1309.68</v>
      </c>
      <c r="J3" s="36"/>
      <c r="K3" s="36"/>
      <c r="L3" s="17"/>
      <c r="M3" s="17" t="s">
        <v>177</v>
      </c>
      <c r="N3" s="17" t="s">
        <v>191</v>
      </c>
      <c r="O3" s="11">
        <v>369.87</v>
      </c>
    </row>
    <row r="4">
      <c r="A4" s="53">
        <v>45833.0</v>
      </c>
      <c r="B4" s="53">
        <v>45837.0</v>
      </c>
      <c r="C4" s="53">
        <v>45839.0</v>
      </c>
      <c r="D4" s="52">
        <f t="shared" si="1"/>
        <v>2</v>
      </c>
      <c r="E4" s="52" t="s">
        <v>192</v>
      </c>
      <c r="F4" s="52">
        <v>2.0</v>
      </c>
      <c r="G4" s="54">
        <f t="shared" si="2"/>
        <v>739.74</v>
      </c>
      <c r="H4" s="54">
        <f t="shared" si="3"/>
        <v>379.96</v>
      </c>
      <c r="I4" s="54">
        <f t="shared" si="4"/>
        <v>1119.7</v>
      </c>
      <c r="J4" s="36"/>
      <c r="K4" s="36"/>
      <c r="L4" s="17"/>
      <c r="M4" s="17" t="s">
        <v>177</v>
      </c>
      <c r="N4" s="17" t="s">
        <v>193</v>
      </c>
      <c r="O4" s="11">
        <v>189.98</v>
      </c>
    </row>
    <row r="5">
      <c r="A5" s="56"/>
      <c r="B5" s="56"/>
      <c r="C5" s="56"/>
      <c r="D5" s="52" t="str">
        <f t="shared" si="1"/>
        <v/>
      </c>
      <c r="E5" s="56"/>
      <c r="F5" s="56"/>
      <c r="G5" s="56"/>
      <c r="H5" s="29" t="s">
        <v>79</v>
      </c>
      <c r="I5" s="76">
        <f>SUM(I2:I4)</f>
        <v>4298.91</v>
      </c>
      <c r="J5" s="36"/>
      <c r="K5" s="36"/>
    </row>
    <row r="6">
      <c r="A6" s="77"/>
      <c r="B6" s="77"/>
      <c r="C6" s="77"/>
      <c r="D6" s="77"/>
      <c r="E6" s="77"/>
      <c r="F6" s="77"/>
      <c r="G6" s="77"/>
      <c r="H6" s="77"/>
      <c r="I6" s="77"/>
      <c r="J6" s="78"/>
      <c r="K6" s="78"/>
      <c r="L6" s="79"/>
      <c r="M6" s="79"/>
    </row>
    <row r="7">
      <c r="A7" s="77"/>
      <c r="B7" s="77"/>
      <c r="C7" s="77"/>
      <c r="D7" s="77"/>
      <c r="E7" s="77"/>
      <c r="F7" s="77"/>
      <c r="G7" s="77"/>
      <c r="H7" s="77"/>
      <c r="I7" s="77"/>
      <c r="J7" s="80"/>
      <c r="K7" s="80"/>
      <c r="L7" s="81"/>
      <c r="M7" s="81"/>
    </row>
    <row r="8">
      <c r="A8" s="53"/>
      <c r="B8" s="53"/>
      <c r="C8" s="53"/>
      <c r="D8" s="52"/>
      <c r="E8" s="52"/>
      <c r="F8" s="52"/>
      <c r="G8" s="56"/>
      <c r="H8" s="56"/>
      <c r="I8" s="56"/>
      <c r="J8" s="76"/>
      <c r="K8" s="76"/>
      <c r="L8" s="56"/>
      <c r="M8" s="56"/>
    </row>
    <row r="9">
      <c r="A9" s="53">
        <v>45845.0</v>
      </c>
      <c r="B9" s="53">
        <v>45853.0</v>
      </c>
      <c r="C9" s="53">
        <v>45854.0</v>
      </c>
      <c r="D9" s="52">
        <f>IF(C9-B9=0,"",C9-B9)</f>
        <v>1</v>
      </c>
      <c r="E9" s="52" t="s">
        <v>194</v>
      </c>
      <c r="F9" s="52">
        <v>3.0</v>
      </c>
      <c r="G9" s="54">
        <f>D9*O$3</f>
        <v>369.87</v>
      </c>
      <c r="H9" s="54">
        <f>F9*O$4</f>
        <v>569.94</v>
      </c>
      <c r="I9" s="54">
        <f>G9+H9</f>
        <v>939.81</v>
      </c>
      <c r="J9" s="76">
        <v>551.0</v>
      </c>
      <c r="K9" s="76"/>
      <c r="L9" s="52"/>
      <c r="M9" s="52" t="s">
        <v>177</v>
      </c>
    </row>
    <row r="10">
      <c r="A10" s="82" t="s">
        <v>165</v>
      </c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2"/>
    </row>
    <row r="11">
      <c r="A11" s="29"/>
      <c r="B11" s="29"/>
      <c r="C11" s="29"/>
      <c r="D11" s="29"/>
      <c r="E11" s="29"/>
      <c r="F11" s="29"/>
      <c r="G11" s="29"/>
      <c r="H11" s="29"/>
      <c r="I11" s="29"/>
      <c r="J11" s="83"/>
      <c r="K11" s="83"/>
      <c r="L11" s="84"/>
      <c r="M11" s="84"/>
    </row>
    <row r="12">
      <c r="A12" s="85">
        <v>45833.0</v>
      </c>
      <c r="B12" s="85">
        <v>45890.0</v>
      </c>
      <c r="C12" s="85">
        <v>45891.0</v>
      </c>
      <c r="D12" s="84">
        <f t="shared" ref="D12:D23" si="5">IF(C12-B12=0,"",C12-B12)</f>
        <v>1</v>
      </c>
      <c r="E12" s="84" t="s">
        <v>195</v>
      </c>
      <c r="F12" s="84">
        <f>D12*2</f>
        <v>2</v>
      </c>
      <c r="G12" s="86">
        <f t="shared" ref="G12:G15" si="6">D12*O$3</f>
        <v>369.87</v>
      </c>
      <c r="H12" s="86">
        <f t="shared" ref="H12:H15" si="7">F12*O$4</f>
        <v>379.96</v>
      </c>
      <c r="I12" s="86">
        <f t="shared" ref="I12:I15" si="8">G12+H12</f>
        <v>749.83</v>
      </c>
      <c r="J12" s="83">
        <v>331.0</v>
      </c>
      <c r="K12" s="83"/>
      <c r="L12" s="84"/>
      <c r="M12" s="84" t="s">
        <v>177</v>
      </c>
    </row>
    <row r="13">
      <c r="A13" s="85">
        <v>45860.0</v>
      </c>
      <c r="B13" s="85">
        <v>45875.0</v>
      </c>
      <c r="C13" s="85">
        <v>45877.0</v>
      </c>
      <c r="D13" s="84">
        <f t="shared" si="5"/>
        <v>2</v>
      </c>
      <c r="E13" s="84" t="s">
        <v>196</v>
      </c>
      <c r="F13" s="84">
        <v>2.0</v>
      </c>
      <c r="G13" s="86">
        <f t="shared" si="6"/>
        <v>739.74</v>
      </c>
      <c r="H13" s="86">
        <f t="shared" si="7"/>
        <v>379.96</v>
      </c>
      <c r="I13" s="86">
        <f t="shared" si="8"/>
        <v>1119.7</v>
      </c>
      <c r="J13" s="83">
        <v>1500.0</v>
      </c>
      <c r="K13" s="83"/>
      <c r="L13" s="84"/>
      <c r="M13" s="84" t="s">
        <v>177</v>
      </c>
    </row>
    <row r="14">
      <c r="A14" s="85">
        <v>45860.0</v>
      </c>
      <c r="B14" s="85">
        <v>45876.0</v>
      </c>
      <c r="C14" s="85">
        <v>45878.0</v>
      </c>
      <c r="D14" s="84">
        <f t="shared" si="5"/>
        <v>2</v>
      </c>
      <c r="E14" s="84" t="s">
        <v>197</v>
      </c>
      <c r="F14" s="84">
        <v>1.0</v>
      </c>
      <c r="G14" s="86">
        <f t="shared" si="6"/>
        <v>739.74</v>
      </c>
      <c r="H14" s="86">
        <f t="shared" si="7"/>
        <v>189.98</v>
      </c>
      <c r="I14" s="86">
        <f t="shared" si="8"/>
        <v>929.72</v>
      </c>
      <c r="J14" s="86"/>
      <c r="K14" s="86"/>
      <c r="L14" s="84"/>
      <c r="M14" s="84" t="s">
        <v>177</v>
      </c>
    </row>
    <row r="15">
      <c r="A15" s="85">
        <v>45860.0</v>
      </c>
      <c r="B15" s="85">
        <v>45889.0</v>
      </c>
      <c r="C15" s="85">
        <v>45891.0</v>
      </c>
      <c r="D15" s="84">
        <f t="shared" si="5"/>
        <v>2</v>
      </c>
      <c r="E15" s="84" t="s">
        <v>198</v>
      </c>
      <c r="F15" s="84">
        <v>3.0</v>
      </c>
      <c r="G15" s="86">
        <f t="shared" si="6"/>
        <v>739.74</v>
      </c>
      <c r="H15" s="86">
        <f t="shared" si="7"/>
        <v>569.94</v>
      </c>
      <c r="I15" s="86">
        <f t="shared" si="8"/>
        <v>1309.68</v>
      </c>
      <c r="J15" s="86"/>
      <c r="K15" s="86"/>
      <c r="L15" s="84"/>
      <c r="M15" s="84" t="s">
        <v>177</v>
      </c>
    </row>
    <row r="16">
      <c r="A16" s="85">
        <v>45860.0</v>
      </c>
      <c r="B16" s="85">
        <v>45890.0</v>
      </c>
      <c r="C16" s="85">
        <v>45893.0</v>
      </c>
      <c r="D16" s="84">
        <f t="shared" si="5"/>
        <v>3</v>
      </c>
      <c r="E16" s="87" t="s">
        <v>199</v>
      </c>
      <c r="F16" s="84">
        <v>0.0</v>
      </c>
      <c r="G16" s="84">
        <v>1312.9</v>
      </c>
      <c r="H16" s="84"/>
      <c r="I16" s="83">
        <v>1109.61</v>
      </c>
      <c r="J16" s="84">
        <v>1312.9</v>
      </c>
      <c r="K16" s="83">
        <v>1109.61</v>
      </c>
      <c r="L16" s="84"/>
      <c r="M16" s="84" t="s">
        <v>177</v>
      </c>
    </row>
    <row r="17">
      <c r="A17" s="85">
        <v>45860.0</v>
      </c>
      <c r="B17" s="85">
        <v>45895.0</v>
      </c>
      <c r="C17" s="85">
        <v>45897.0</v>
      </c>
      <c r="D17" s="84">
        <f t="shared" si="5"/>
        <v>2</v>
      </c>
      <c r="E17" s="84" t="s">
        <v>200</v>
      </c>
      <c r="F17" s="84">
        <v>3.0</v>
      </c>
      <c r="G17" s="86">
        <f t="shared" ref="G17:G23" si="9">D17*O$3</f>
        <v>739.74</v>
      </c>
      <c r="H17" s="86">
        <f t="shared" ref="H17:H23" si="10">F17*O$4</f>
        <v>569.94</v>
      </c>
      <c r="I17" s="86">
        <f t="shared" ref="I17:I23" si="11">G17+H17</f>
        <v>1309.68</v>
      </c>
      <c r="J17" s="86"/>
      <c r="K17" s="86"/>
      <c r="L17" s="84"/>
      <c r="M17" s="84" t="s">
        <v>177</v>
      </c>
    </row>
    <row r="18">
      <c r="A18" s="85">
        <v>45860.0</v>
      </c>
      <c r="B18" s="85">
        <v>45897.0</v>
      </c>
      <c r="C18" s="85">
        <v>45899.0</v>
      </c>
      <c r="D18" s="84">
        <f t="shared" si="5"/>
        <v>2</v>
      </c>
      <c r="E18" s="84" t="s">
        <v>201</v>
      </c>
      <c r="F18" s="84">
        <v>2.0</v>
      </c>
      <c r="G18" s="86">
        <f t="shared" si="9"/>
        <v>739.74</v>
      </c>
      <c r="H18" s="86">
        <f t="shared" si="10"/>
        <v>379.96</v>
      </c>
      <c r="I18" s="86">
        <f t="shared" si="11"/>
        <v>1119.7</v>
      </c>
      <c r="J18" s="86"/>
      <c r="K18" s="86"/>
      <c r="L18" s="84"/>
      <c r="M18" s="84" t="s">
        <v>177</v>
      </c>
    </row>
    <row r="19">
      <c r="A19" s="85">
        <v>45860.0</v>
      </c>
      <c r="B19" s="88">
        <v>45897.0</v>
      </c>
      <c r="C19" s="88">
        <v>45899.0</v>
      </c>
      <c r="D19" s="84">
        <f t="shared" si="5"/>
        <v>2</v>
      </c>
      <c r="E19" s="84" t="s">
        <v>202</v>
      </c>
      <c r="F19" s="84">
        <v>3.0</v>
      </c>
      <c r="G19" s="86">
        <f t="shared" si="9"/>
        <v>739.74</v>
      </c>
      <c r="H19" s="86">
        <f t="shared" si="10"/>
        <v>569.94</v>
      </c>
      <c r="I19" s="86">
        <f t="shared" si="11"/>
        <v>1309.68</v>
      </c>
      <c r="J19" s="86"/>
      <c r="K19" s="86"/>
      <c r="L19" s="84"/>
      <c r="M19" s="84" t="s">
        <v>177</v>
      </c>
    </row>
    <row r="20">
      <c r="A20" s="85">
        <v>45860.0</v>
      </c>
      <c r="B20" s="88">
        <v>45897.0</v>
      </c>
      <c r="C20" s="88">
        <v>45899.0</v>
      </c>
      <c r="D20" s="84">
        <f t="shared" si="5"/>
        <v>2</v>
      </c>
      <c r="E20" s="84" t="s">
        <v>203</v>
      </c>
      <c r="F20" s="84">
        <v>3.0</v>
      </c>
      <c r="G20" s="86">
        <f t="shared" si="9"/>
        <v>739.74</v>
      </c>
      <c r="H20" s="86">
        <f t="shared" si="10"/>
        <v>569.94</v>
      </c>
      <c r="I20" s="86">
        <f t="shared" si="11"/>
        <v>1309.68</v>
      </c>
      <c r="J20" s="86"/>
      <c r="K20" s="86"/>
      <c r="L20" s="84"/>
      <c r="M20" s="84" t="s">
        <v>177</v>
      </c>
    </row>
    <row r="21">
      <c r="A21" s="85">
        <v>45860.0</v>
      </c>
      <c r="B21" s="88">
        <v>45897.0</v>
      </c>
      <c r="C21" s="88">
        <v>45899.0</v>
      </c>
      <c r="D21" s="84">
        <f t="shared" si="5"/>
        <v>2</v>
      </c>
      <c r="E21" s="89" t="s">
        <v>204</v>
      </c>
      <c r="F21" s="84">
        <v>2.0</v>
      </c>
      <c r="G21" s="86">
        <f t="shared" si="9"/>
        <v>739.74</v>
      </c>
      <c r="H21" s="86">
        <f t="shared" si="10"/>
        <v>379.96</v>
      </c>
      <c r="I21" s="86">
        <f t="shared" si="11"/>
        <v>1119.7</v>
      </c>
      <c r="J21" s="86"/>
      <c r="K21" s="86"/>
      <c r="L21" s="84"/>
      <c r="M21" s="84" t="s">
        <v>177</v>
      </c>
    </row>
    <row r="22">
      <c r="A22" s="85">
        <v>45870.0</v>
      </c>
      <c r="B22" s="85">
        <v>45883.0</v>
      </c>
      <c r="C22" s="85">
        <v>45884.0</v>
      </c>
      <c r="D22" s="84">
        <f t="shared" si="5"/>
        <v>1</v>
      </c>
      <c r="E22" s="84" t="s">
        <v>205</v>
      </c>
      <c r="F22" s="84">
        <v>1.0</v>
      </c>
      <c r="G22" s="86">
        <f t="shared" si="9"/>
        <v>369.87</v>
      </c>
      <c r="H22" s="86">
        <f t="shared" si="10"/>
        <v>189.98</v>
      </c>
      <c r="I22" s="86">
        <f t="shared" si="11"/>
        <v>559.85</v>
      </c>
      <c r="J22" s="86"/>
      <c r="K22" s="86"/>
      <c r="L22" s="84"/>
      <c r="M22" s="84" t="s">
        <v>177</v>
      </c>
    </row>
    <row r="23">
      <c r="A23" s="85">
        <v>45882.0</v>
      </c>
      <c r="B23" s="85">
        <v>45891.0</v>
      </c>
      <c r="C23" s="85">
        <v>45892.0</v>
      </c>
      <c r="D23" s="84">
        <f t="shared" si="5"/>
        <v>1</v>
      </c>
      <c r="E23" s="84" t="s">
        <v>206</v>
      </c>
      <c r="F23" s="84">
        <v>1.0</v>
      </c>
      <c r="G23" s="86">
        <f t="shared" si="9"/>
        <v>369.87</v>
      </c>
      <c r="H23" s="86">
        <f t="shared" si="10"/>
        <v>189.98</v>
      </c>
      <c r="I23" s="86">
        <f t="shared" si="11"/>
        <v>559.85</v>
      </c>
      <c r="J23" s="86"/>
      <c r="K23" s="86"/>
      <c r="L23" s="84"/>
      <c r="M23" s="84" t="s">
        <v>177</v>
      </c>
    </row>
    <row r="24">
      <c r="G24" s="36">
        <f>SUM(H12:H23)</f>
        <v>4369.54</v>
      </c>
      <c r="H24" s="31" t="s">
        <v>79</v>
      </c>
      <c r="I24" s="90">
        <f>SUM(I12:I23)</f>
        <v>12506.68</v>
      </c>
      <c r="J24" s="36"/>
      <c r="K24" s="36"/>
    </row>
    <row r="25">
      <c r="J25" s="36"/>
      <c r="K25" s="36"/>
    </row>
    <row r="26">
      <c r="A26" s="82" t="s">
        <v>170</v>
      </c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2"/>
    </row>
    <row r="27">
      <c r="A27" s="53">
        <v>45908.0</v>
      </c>
      <c r="B27" s="53">
        <v>45909.0</v>
      </c>
      <c r="C27" s="53">
        <v>45910.0</v>
      </c>
      <c r="D27" s="84">
        <f t="shared" ref="D27:D33" si="12">IF(C27-B27=0,"",C27-B27)</f>
        <v>1</v>
      </c>
      <c r="E27" s="52" t="s">
        <v>207</v>
      </c>
      <c r="F27" s="84">
        <f t="shared" ref="F27:F32" si="13">D27*2</f>
        <v>2</v>
      </c>
      <c r="G27" s="86">
        <f t="shared" ref="G27:G33" si="14">D27*O$3</f>
        <v>369.87</v>
      </c>
      <c r="H27" s="86">
        <f t="shared" ref="H27:H29" si="15">(F27/2)*O$4</f>
        <v>189.98</v>
      </c>
      <c r="I27" s="86">
        <f t="shared" ref="I27:I32" si="16">G27+H27</f>
        <v>559.85</v>
      </c>
      <c r="J27" s="76">
        <v>534.0</v>
      </c>
      <c r="K27" s="76"/>
      <c r="L27" s="84"/>
      <c r="M27" s="84" t="s">
        <v>177</v>
      </c>
    </row>
    <row r="28">
      <c r="A28" s="53">
        <v>45908.0</v>
      </c>
      <c r="B28" s="53">
        <v>45912.0</v>
      </c>
      <c r="C28" s="53">
        <v>45913.0</v>
      </c>
      <c r="D28" s="84">
        <f t="shared" si="12"/>
        <v>1</v>
      </c>
      <c r="E28" s="52" t="s">
        <v>208</v>
      </c>
      <c r="F28" s="84">
        <f t="shared" si="13"/>
        <v>2</v>
      </c>
      <c r="G28" s="86">
        <f t="shared" si="14"/>
        <v>369.87</v>
      </c>
      <c r="H28" s="86">
        <f t="shared" si="15"/>
        <v>189.98</v>
      </c>
      <c r="I28" s="86">
        <f t="shared" si="16"/>
        <v>559.85</v>
      </c>
      <c r="J28" s="76">
        <v>399.0</v>
      </c>
      <c r="K28" s="76"/>
      <c r="L28" s="84"/>
      <c r="M28" s="84" t="s">
        <v>177</v>
      </c>
    </row>
    <row r="29">
      <c r="A29" s="53">
        <v>45908.0</v>
      </c>
      <c r="B29" s="53">
        <v>45915.0</v>
      </c>
      <c r="C29" s="53">
        <v>45916.0</v>
      </c>
      <c r="D29" s="84">
        <f t="shared" si="12"/>
        <v>1</v>
      </c>
      <c r="E29" s="52" t="s">
        <v>209</v>
      </c>
      <c r="F29" s="84">
        <f t="shared" si="13"/>
        <v>2</v>
      </c>
      <c r="G29" s="86">
        <f t="shared" si="14"/>
        <v>369.87</v>
      </c>
      <c r="H29" s="86">
        <f t="shared" si="15"/>
        <v>189.98</v>
      </c>
      <c r="I29" s="86">
        <f t="shared" si="16"/>
        <v>559.85</v>
      </c>
      <c r="J29" s="76">
        <v>399.0</v>
      </c>
      <c r="K29" s="76"/>
      <c r="L29" s="84"/>
      <c r="M29" s="84" t="s">
        <v>177</v>
      </c>
    </row>
    <row r="30">
      <c r="A30" s="53">
        <v>45922.0</v>
      </c>
      <c r="B30" s="91">
        <v>45952.0</v>
      </c>
      <c r="C30" s="91">
        <v>45954.0</v>
      </c>
      <c r="D30" s="84">
        <f t="shared" si="12"/>
        <v>2</v>
      </c>
      <c r="E30" s="52" t="s">
        <v>210</v>
      </c>
      <c r="F30" s="84">
        <f t="shared" si="13"/>
        <v>4</v>
      </c>
      <c r="G30" s="86">
        <f t="shared" si="14"/>
        <v>739.74</v>
      </c>
      <c r="H30" s="86">
        <f t="shared" ref="H30:H32" si="17">F30*O$4</f>
        <v>759.92</v>
      </c>
      <c r="I30" s="86">
        <f t="shared" si="16"/>
        <v>1499.66</v>
      </c>
      <c r="J30" s="76">
        <v>694.55</v>
      </c>
      <c r="K30" s="76"/>
      <c r="L30" s="84"/>
      <c r="M30" s="84" t="s">
        <v>177</v>
      </c>
    </row>
    <row r="31">
      <c r="A31" s="53">
        <v>45922.0</v>
      </c>
      <c r="B31" s="91">
        <v>45959.0</v>
      </c>
      <c r="C31" s="91">
        <v>45961.0</v>
      </c>
      <c r="D31" s="84">
        <f t="shared" si="12"/>
        <v>2</v>
      </c>
      <c r="E31" s="52" t="s">
        <v>211</v>
      </c>
      <c r="F31" s="84">
        <f t="shared" si="13"/>
        <v>4</v>
      </c>
      <c r="G31" s="86">
        <f t="shared" si="14"/>
        <v>739.74</v>
      </c>
      <c r="H31" s="86">
        <f t="shared" si="17"/>
        <v>759.92</v>
      </c>
      <c r="I31" s="86">
        <f t="shared" si="16"/>
        <v>1499.66</v>
      </c>
      <c r="J31" s="92">
        <v>694.55</v>
      </c>
      <c r="K31" s="92"/>
      <c r="L31" s="93"/>
      <c r="M31" s="84" t="s">
        <v>177</v>
      </c>
    </row>
    <row r="32">
      <c r="A32" s="53">
        <v>45922.0</v>
      </c>
      <c r="B32" s="91">
        <v>45960.0</v>
      </c>
      <c r="C32" s="91">
        <v>45961.0</v>
      </c>
      <c r="D32" s="84">
        <f t="shared" si="12"/>
        <v>1</v>
      </c>
      <c r="E32" s="52" t="s">
        <v>212</v>
      </c>
      <c r="F32" s="84">
        <f t="shared" si="13"/>
        <v>2</v>
      </c>
      <c r="G32" s="86">
        <f t="shared" si="14"/>
        <v>369.87</v>
      </c>
      <c r="H32" s="86">
        <f t="shared" si="17"/>
        <v>379.96</v>
      </c>
      <c r="I32" s="86">
        <f t="shared" si="16"/>
        <v>749.83</v>
      </c>
      <c r="J32" s="92">
        <v>378.97</v>
      </c>
      <c r="K32" s="92"/>
      <c r="L32" s="93"/>
      <c r="M32" s="84" t="s">
        <v>177</v>
      </c>
    </row>
    <row r="33">
      <c r="A33" s="56"/>
      <c r="B33" s="56"/>
      <c r="C33" s="56"/>
      <c r="D33" s="84" t="str">
        <f t="shared" si="12"/>
        <v/>
      </c>
      <c r="E33" s="56"/>
      <c r="F33" s="56"/>
      <c r="G33" s="86">
        <f t="shared" si="14"/>
        <v>0</v>
      </c>
      <c r="H33" s="56"/>
      <c r="I33" s="56"/>
      <c r="J33" s="54"/>
      <c r="K33" s="54"/>
      <c r="L33" s="84"/>
      <c r="M33" s="84"/>
    </row>
    <row r="34">
      <c r="A34" s="56"/>
      <c r="B34" s="56"/>
      <c r="C34" s="56"/>
      <c r="D34" s="56"/>
      <c r="E34" s="56"/>
      <c r="F34" s="56"/>
      <c r="G34" s="56"/>
      <c r="H34" s="56"/>
      <c r="I34" s="56"/>
      <c r="J34" s="54"/>
      <c r="K34" s="54"/>
      <c r="L34" s="84"/>
      <c r="M34" s="84"/>
    </row>
    <row r="35">
      <c r="A35" s="94" t="s">
        <v>213</v>
      </c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2"/>
    </row>
    <row r="36">
      <c r="A36" s="56"/>
      <c r="B36" s="26">
        <v>45945.0</v>
      </c>
      <c r="C36" s="53">
        <v>45948.0</v>
      </c>
      <c r="D36" s="84">
        <f>IF(C36-B36=0,"",C36-B36)</f>
        <v>3</v>
      </c>
      <c r="E36" s="52" t="s">
        <v>214</v>
      </c>
      <c r="F36" s="84">
        <f>D36*2</f>
        <v>6</v>
      </c>
      <c r="G36" s="86">
        <f>D36*O$3</f>
        <v>1109.61</v>
      </c>
      <c r="H36" s="86">
        <f>F36*O$4</f>
        <v>1139.88</v>
      </c>
      <c r="I36" s="86">
        <f>G36+H36</f>
        <v>2249.49</v>
      </c>
      <c r="J36" s="54"/>
      <c r="K36" s="54"/>
      <c r="L36" s="84"/>
      <c r="M36" s="84"/>
    </row>
    <row r="37">
      <c r="A37" s="95"/>
      <c r="B37" s="95"/>
      <c r="C37" s="95"/>
      <c r="D37" s="95"/>
      <c r="E37" s="95"/>
      <c r="F37" s="95"/>
      <c r="G37" s="95"/>
      <c r="H37" s="95"/>
      <c r="I37" s="95"/>
      <c r="J37" s="95"/>
      <c r="K37" s="95"/>
      <c r="L37" s="95"/>
      <c r="M37" s="95"/>
    </row>
    <row r="38">
      <c r="A38" s="94" t="s">
        <v>215</v>
      </c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2"/>
    </row>
    <row r="39">
      <c r="A39" s="91"/>
      <c r="B39" s="53"/>
      <c r="C39" s="53"/>
      <c r="D39" s="84"/>
      <c r="E39" s="52"/>
      <c r="F39" s="84"/>
      <c r="G39" s="96"/>
      <c r="H39" s="96"/>
      <c r="I39" s="96"/>
      <c r="J39" s="54"/>
      <c r="K39" s="54"/>
      <c r="L39" s="84"/>
      <c r="M39" s="84"/>
      <c r="N39" s="56"/>
      <c r="O39" s="56"/>
    </row>
    <row r="40">
      <c r="A40" s="53">
        <v>45968.0</v>
      </c>
      <c r="B40" s="91">
        <v>45974.0</v>
      </c>
      <c r="C40" s="91">
        <v>45976.0</v>
      </c>
      <c r="D40" s="84">
        <f t="shared" ref="D40:D42" si="18">IF(C40-B40=0,"",C40-B40)</f>
        <v>2</v>
      </c>
      <c r="E40" s="52" t="s">
        <v>216</v>
      </c>
      <c r="F40" s="84">
        <v>4.0</v>
      </c>
      <c r="G40" s="86">
        <f t="shared" ref="G40:G44" si="19">D40*O$3</f>
        <v>739.74</v>
      </c>
      <c r="H40" s="86">
        <f t="shared" ref="H40:H42" si="20">F40*O$4</f>
        <v>759.92</v>
      </c>
      <c r="I40" s="86">
        <f t="shared" ref="I40:I42" si="21">G40+H40</f>
        <v>1499.66</v>
      </c>
      <c r="J40" s="54"/>
      <c r="K40" s="54"/>
      <c r="L40" s="84"/>
      <c r="M40" s="84" t="s">
        <v>177</v>
      </c>
    </row>
    <row r="41">
      <c r="A41" s="53">
        <v>45968.0</v>
      </c>
      <c r="B41" s="91">
        <v>45974.0</v>
      </c>
      <c r="C41" s="91">
        <v>45976.0</v>
      </c>
      <c r="D41" s="84">
        <f t="shared" si="18"/>
        <v>2</v>
      </c>
      <c r="E41" s="52" t="s">
        <v>217</v>
      </c>
      <c r="F41" s="84">
        <f t="shared" ref="F41:F42" si="22">D41*2</f>
        <v>4</v>
      </c>
      <c r="G41" s="86">
        <f t="shared" si="19"/>
        <v>739.74</v>
      </c>
      <c r="H41" s="86">
        <f t="shared" si="20"/>
        <v>759.92</v>
      </c>
      <c r="I41" s="86">
        <f t="shared" si="21"/>
        <v>1499.66</v>
      </c>
      <c r="J41" s="54"/>
      <c r="K41" s="54"/>
      <c r="L41" s="84"/>
      <c r="M41" s="84" t="s">
        <v>177</v>
      </c>
    </row>
    <row r="42">
      <c r="A42" s="53">
        <v>45965.0</v>
      </c>
      <c r="B42" s="91">
        <v>45979.0</v>
      </c>
      <c r="C42" s="91">
        <v>45981.0</v>
      </c>
      <c r="D42" s="84">
        <f t="shared" si="18"/>
        <v>2</v>
      </c>
      <c r="E42" s="52" t="s">
        <v>218</v>
      </c>
      <c r="F42" s="84">
        <f t="shared" si="22"/>
        <v>4</v>
      </c>
      <c r="G42" s="86">
        <f t="shared" si="19"/>
        <v>739.74</v>
      </c>
      <c r="H42" s="86">
        <f t="shared" si="20"/>
        <v>759.92</v>
      </c>
      <c r="I42" s="86">
        <f t="shared" si="21"/>
        <v>1499.66</v>
      </c>
      <c r="J42" s="54"/>
      <c r="K42" s="54"/>
      <c r="L42" s="84"/>
      <c r="M42" s="84" t="s">
        <v>177</v>
      </c>
    </row>
    <row r="43">
      <c r="A43" s="53">
        <v>45965.0</v>
      </c>
      <c r="B43" s="91">
        <v>45979.0</v>
      </c>
      <c r="C43" s="91">
        <v>45981.0</v>
      </c>
      <c r="D43" s="84">
        <v>1.0</v>
      </c>
      <c r="E43" s="97" t="s">
        <v>219</v>
      </c>
      <c r="F43" s="84">
        <v>0.0</v>
      </c>
      <c r="G43" s="86">
        <f t="shared" si="19"/>
        <v>369.87</v>
      </c>
      <c r="H43" s="84" t="s">
        <v>220</v>
      </c>
      <c r="I43" s="84">
        <v>369.87</v>
      </c>
      <c r="J43" s="54"/>
      <c r="K43" s="54"/>
      <c r="L43" s="84"/>
      <c r="M43" s="84" t="s">
        <v>177</v>
      </c>
    </row>
    <row r="44">
      <c r="A44" s="53">
        <v>45965.0</v>
      </c>
      <c r="B44" s="91">
        <v>45974.0</v>
      </c>
      <c r="C44" s="91">
        <v>45975.0</v>
      </c>
      <c r="D44" s="84">
        <f>IF(C44-B44=0,"",C44-B44)</f>
        <v>1</v>
      </c>
      <c r="E44" s="52" t="s">
        <v>221</v>
      </c>
      <c r="F44" s="84">
        <v>2.0</v>
      </c>
      <c r="G44" s="86">
        <f t="shared" si="19"/>
        <v>369.87</v>
      </c>
      <c r="H44" s="86">
        <f>F44*O$4</f>
        <v>379.96</v>
      </c>
      <c r="I44" s="86">
        <f>G44+H44</f>
        <v>749.83</v>
      </c>
      <c r="J44" s="54"/>
      <c r="K44" s="54"/>
      <c r="L44" s="84"/>
      <c r="M44" s="84" t="s">
        <v>177</v>
      </c>
    </row>
    <row r="45">
      <c r="A45" s="53"/>
      <c r="B45" s="53"/>
      <c r="C45" s="53"/>
      <c r="D45" s="84"/>
      <c r="E45" s="52"/>
      <c r="F45" s="84"/>
      <c r="G45" s="96"/>
      <c r="H45" s="96"/>
      <c r="I45" s="96"/>
      <c r="J45" s="54"/>
      <c r="K45" s="54"/>
      <c r="L45" s="84"/>
      <c r="M45" s="84"/>
    </row>
    <row r="46">
      <c r="A46" s="56"/>
      <c r="B46" s="56"/>
      <c r="C46" s="56"/>
      <c r="D46" s="84"/>
      <c r="E46" s="56"/>
      <c r="F46" s="54"/>
      <c r="G46" s="54"/>
      <c r="H46" s="76" t="s">
        <v>79</v>
      </c>
      <c r="I46" s="54">
        <f>SUM(I40:I45)</f>
        <v>5618.68</v>
      </c>
      <c r="J46" s="54"/>
      <c r="K46" s="54"/>
      <c r="L46" s="84"/>
      <c r="M46" s="84"/>
    </row>
    <row r="47">
      <c r="A47" s="94" t="s">
        <v>222</v>
      </c>
      <c r="B47" s="61"/>
      <c r="C47" s="61"/>
      <c r="D47" s="61"/>
      <c r="E47" s="61"/>
      <c r="F47" s="61"/>
      <c r="G47" s="61"/>
      <c r="H47" s="61"/>
      <c r="I47" s="61"/>
      <c r="J47" s="61"/>
      <c r="K47" s="61"/>
      <c r="L47" s="61"/>
      <c r="M47" s="62"/>
    </row>
    <row r="48">
      <c r="A48" s="91">
        <v>45988.0</v>
      </c>
      <c r="B48" s="53">
        <v>45995.0</v>
      </c>
      <c r="C48" s="53">
        <v>45997.0</v>
      </c>
      <c r="D48" s="84">
        <f t="shared" ref="D48:D49" si="23">IF(C48-B48=0,"",C48-B48)</f>
        <v>2</v>
      </c>
      <c r="E48" s="52" t="s">
        <v>223</v>
      </c>
      <c r="F48" s="84">
        <v>2.0</v>
      </c>
      <c r="G48" s="86">
        <f t="shared" ref="G48:G49" si="24">D48*O$3</f>
        <v>739.74</v>
      </c>
      <c r="H48" s="86">
        <f t="shared" ref="H48:H49" si="25">F48*O$4</f>
        <v>379.96</v>
      </c>
      <c r="I48" s="86">
        <f t="shared" ref="I48:I49" si="26">G48+H48</f>
        <v>1119.7</v>
      </c>
      <c r="J48" s="36"/>
      <c r="K48" s="36"/>
      <c r="L48" s="93"/>
      <c r="M48" s="84" t="s">
        <v>177</v>
      </c>
      <c r="N48" s="84"/>
    </row>
    <row r="49">
      <c r="A49" s="53">
        <v>45965.0</v>
      </c>
      <c r="B49" s="53">
        <v>45994.0</v>
      </c>
      <c r="C49" s="53">
        <v>45998.0</v>
      </c>
      <c r="D49" s="84">
        <f t="shared" si="23"/>
        <v>4</v>
      </c>
      <c r="E49" s="52" t="s">
        <v>224</v>
      </c>
      <c r="F49" s="41">
        <v>4.0</v>
      </c>
      <c r="G49" s="86">
        <f t="shared" si="24"/>
        <v>1479.48</v>
      </c>
      <c r="H49" s="86">
        <f t="shared" si="25"/>
        <v>759.92</v>
      </c>
      <c r="I49" s="86">
        <f t="shared" si="26"/>
        <v>2239.4</v>
      </c>
      <c r="J49" s="36"/>
      <c r="K49" s="36"/>
      <c r="L49" s="93"/>
      <c r="M49" s="84" t="s">
        <v>177</v>
      </c>
    </row>
    <row r="50">
      <c r="H50" s="31" t="s">
        <v>79</v>
      </c>
      <c r="I50" s="90">
        <f>SUM(I48:I49)</f>
        <v>3359.1</v>
      </c>
      <c r="J50" s="36"/>
      <c r="K50" s="36"/>
    </row>
    <row r="51">
      <c r="A51" s="94" t="s">
        <v>225</v>
      </c>
      <c r="B51" s="61"/>
      <c r="C51" s="61"/>
      <c r="D51" s="61"/>
      <c r="E51" s="61"/>
      <c r="F51" s="61"/>
      <c r="G51" s="61"/>
      <c r="H51" s="61"/>
      <c r="I51" s="61"/>
      <c r="J51" s="61"/>
      <c r="K51" s="61"/>
      <c r="L51" s="61"/>
      <c r="M51" s="62"/>
    </row>
    <row r="52">
      <c r="A52" s="53">
        <v>46042.0</v>
      </c>
      <c r="B52" s="53">
        <v>46049.0</v>
      </c>
      <c r="C52" s="53">
        <v>46052.0</v>
      </c>
      <c r="D52" s="84">
        <f t="shared" ref="D52:D53" si="27">IF(C52-B52=0,"",C52-B52)</f>
        <v>3</v>
      </c>
      <c r="E52" s="75" t="s">
        <v>226</v>
      </c>
      <c r="F52" s="84">
        <f t="shared" ref="F52:F53" si="28">D52*2</f>
        <v>6</v>
      </c>
      <c r="G52" s="86">
        <f t="shared" ref="G52:G53" si="29">D52*O$3</f>
        <v>1109.61</v>
      </c>
      <c r="H52" s="86">
        <f t="shared" ref="H52:H53" si="30">F52*O$4</f>
        <v>1139.88</v>
      </c>
      <c r="I52" s="86">
        <f t="shared" ref="I52:I53" si="31">G52+H52</f>
        <v>2249.49</v>
      </c>
      <c r="J52" s="36"/>
      <c r="K52" s="36"/>
    </row>
    <row r="53">
      <c r="A53" s="53">
        <v>46042.0</v>
      </c>
      <c r="B53" s="53">
        <v>46049.0</v>
      </c>
      <c r="C53" s="53">
        <v>46052.0</v>
      </c>
      <c r="D53" s="84">
        <f t="shared" si="27"/>
        <v>3</v>
      </c>
      <c r="E53" s="75" t="s">
        <v>227</v>
      </c>
      <c r="F53" s="84">
        <f t="shared" si="28"/>
        <v>6</v>
      </c>
      <c r="G53" s="86">
        <f t="shared" si="29"/>
        <v>1109.61</v>
      </c>
      <c r="H53" s="86">
        <f t="shared" si="30"/>
        <v>1139.88</v>
      </c>
      <c r="I53" s="86">
        <f t="shared" si="31"/>
        <v>2249.49</v>
      </c>
      <c r="J53" s="98"/>
      <c r="K53" s="11">
        <v>170.0</v>
      </c>
    </row>
    <row r="54">
      <c r="E54" s="99"/>
      <c r="H54" s="31" t="s">
        <v>79</v>
      </c>
      <c r="I54" s="90">
        <f>SUM(I52:I53)</f>
        <v>4498.98</v>
      </c>
      <c r="J54" s="98"/>
      <c r="K54" s="36"/>
      <c r="L54" s="93"/>
      <c r="M54" s="84" t="s">
        <v>177</v>
      </c>
    </row>
    <row r="55">
      <c r="A55" s="94" t="s">
        <v>228</v>
      </c>
      <c r="B55" s="61"/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62"/>
    </row>
    <row r="56">
      <c r="A56" s="53">
        <v>46052.0</v>
      </c>
      <c r="B56" s="53">
        <v>46056.0</v>
      </c>
      <c r="C56" s="53">
        <v>46060.0</v>
      </c>
      <c r="D56" s="84">
        <f t="shared" ref="D56:D68" si="32">IF(C56-B56=0,"",C56-B56)</f>
        <v>4</v>
      </c>
      <c r="E56" s="52" t="s">
        <v>229</v>
      </c>
      <c r="F56" s="84">
        <v>8.0</v>
      </c>
      <c r="G56" s="86">
        <f t="shared" ref="G56:G68" si="33">D56*O$3</f>
        <v>1479.48</v>
      </c>
      <c r="H56" s="86">
        <f t="shared" ref="H56:H68" si="34">F56*O$4</f>
        <v>1519.84</v>
      </c>
      <c r="I56" s="86">
        <f t="shared" ref="I56:I68" si="35">G56+H56</f>
        <v>2999.32</v>
      </c>
      <c r="J56" s="100">
        <v>2192.0</v>
      </c>
      <c r="K56" s="76">
        <v>480.0</v>
      </c>
      <c r="L56" s="54">
        <f t="shared" ref="L56:L68" si="36">SUM(J56:K56)</f>
        <v>2672</v>
      </c>
      <c r="M56" s="54">
        <f t="shared" ref="M56:M68" si="37">I56-L56</f>
        <v>327.32</v>
      </c>
    </row>
    <row r="57">
      <c r="A57" s="53">
        <v>46052.0</v>
      </c>
      <c r="B57" s="53">
        <v>46078.0</v>
      </c>
      <c r="C57" s="53">
        <v>46079.0</v>
      </c>
      <c r="D57" s="84">
        <f t="shared" si="32"/>
        <v>1</v>
      </c>
      <c r="E57" s="52" t="s">
        <v>230</v>
      </c>
      <c r="F57" s="84">
        <f t="shared" ref="F57:F58" si="38">D57*2</f>
        <v>2</v>
      </c>
      <c r="G57" s="86">
        <f t="shared" si="33"/>
        <v>369.87</v>
      </c>
      <c r="H57" s="86">
        <f t="shared" si="34"/>
        <v>379.96</v>
      </c>
      <c r="I57" s="86">
        <f t="shared" si="35"/>
        <v>749.83</v>
      </c>
      <c r="J57" s="100">
        <v>548.0</v>
      </c>
      <c r="K57" s="76">
        <v>0.0</v>
      </c>
      <c r="L57" s="54">
        <f t="shared" si="36"/>
        <v>548</v>
      </c>
      <c r="M57" s="54">
        <f t="shared" si="37"/>
        <v>201.83</v>
      </c>
    </row>
    <row r="58">
      <c r="A58" s="53">
        <v>46084.0</v>
      </c>
      <c r="B58" s="53">
        <v>46081.0</v>
      </c>
      <c r="C58" s="53">
        <v>46084.0</v>
      </c>
      <c r="D58" s="84">
        <f t="shared" si="32"/>
        <v>3</v>
      </c>
      <c r="E58" s="52" t="s">
        <v>231</v>
      </c>
      <c r="F58" s="84">
        <f t="shared" si="38"/>
        <v>6</v>
      </c>
      <c r="G58" s="86">
        <f t="shared" si="33"/>
        <v>1109.61</v>
      </c>
      <c r="H58" s="86">
        <f t="shared" si="34"/>
        <v>1139.88</v>
      </c>
      <c r="I58" s="86">
        <f t="shared" si="35"/>
        <v>2249.49</v>
      </c>
      <c r="J58" s="54"/>
      <c r="K58" s="54"/>
      <c r="L58" s="54">
        <f t="shared" si="36"/>
        <v>0</v>
      </c>
      <c r="M58" s="54">
        <f t="shared" si="37"/>
        <v>2249.49</v>
      </c>
    </row>
    <row r="59">
      <c r="A59" s="53">
        <v>46084.0</v>
      </c>
      <c r="B59" s="53">
        <v>46084.0</v>
      </c>
      <c r="C59" s="53">
        <v>46092.0</v>
      </c>
      <c r="D59" s="84">
        <f t="shared" si="32"/>
        <v>8</v>
      </c>
      <c r="E59" s="52" t="s">
        <v>232</v>
      </c>
      <c r="F59" s="84">
        <v>14.0</v>
      </c>
      <c r="G59" s="86">
        <f t="shared" si="33"/>
        <v>2958.96</v>
      </c>
      <c r="H59" s="86">
        <f t="shared" si="34"/>
        <v>2659.72</v>
      </c>
      <c r="I59" s="86">
        <f t="shared" si="35"/>
        <v>5618.68</v>
      </c>
      <c r="J59" s="54"/>
      <c r="K59" s="54"/>
      <c r="L59" s="54">
        <f t="shared" si="36"/>
        <v>0</v>
      </c>
      <c r="M59" s="54">
        <f t="shared" si="37"/>
        <v>5618.68</v>
      </c>
    </row>
    <row r="60">
      <c r="A60" s="53">
        <v>46090.0</v>
      </c>
      <c r="B60" s="53">
        <v>46091.0</v>
      </c>
      <c r="C60" s="53">
        <v>46096.0</v>
      </c>
      <c r="D60" s="84">
        <f t="shared" si="32"/>
        <v>5</v>
      </c>
      <c r="E60" s="52" t="s">
        <v>233</v>
      </c>
      <c r="F60" s="84">
        <v>8.0</v>
      </c>
      <c r="G60" s="86">
        <f t="shared" si="33"/>
        <v>1849.35</v>
      </c>
      <c r="H60" s="86">
        <f t="shared" si="34"/>
        <v>1519.84</v>
      </c>
      <c r="I60" s="86">
        <f t="shared" si="35"/>
        <v>3369.19</v>
      </c>
      <c r="J60" s="54"/>
      <c r="K60" s="54"/>
      <c r="L60" s="54">
        <f t="shared" si="36"/>
        <v>0</v>
      </c>
      <c r="M60" s="54">
        <f t="shared" si="37"/>
        <v>3369.19</v>
      </c>
    </row>
    <row r="61">
      <c r="A61" s="53">
        <v>46090.0</v>
      </c>
      <c r="B61" s="53">
        <v>46091.0</v>
      </c>
      <c r="C61" s="53">
        <v>46095.0</v>
      </c>
      <c r="D61" s="84">
        <f t="shared" si="32"/>
        <v>4</v>
      </c>
      <c r="E61" s="52" t="s">
        <v>234</v>
      </c>
      <c r="F61" s="84">
        <v>7.0</v>
      </c>
      <c r="G61" s="86">
        <f t="shared" si="33"/>
        <v>1479.48</v>
      </c>
      <c r="H61" s="86">
        <f t="shared" si="34"/>
        <v>1329.86</v>
      </c>
      <c r="I61" s="86">
        <f t="shared" si="35"/>
        <v>2809.34</v>
      </c>
      <c r="J61" s="54"/>
      <c r="K61" s="54"/>
      <c r="L61" s="54">
        <f t="shared" si="36"/>
        <v>0</v>
      </c>
      <c r="M61" s="54">
        <f t="shared" si="37"/>
        <v>2809.34</v>
      </c>
    </row>
    <row r="62">
      <c r="A62" s="53">
        <v>46090.0</v>
      </c>
      <c r="B62" s="53">
        <v>46093.0</v>
      </c>
      <c r="C62" s="53">
        <v>46095.0</v>
      </c>
      <c r="D62" s="84">
        <f t="shared" si="32"/>
        <v>2</v>
      </c>
      <c r="E62" s="52" t="s">
        <v>235</v>
      </c>
      <c r="F62" s="84">
        <v>0.0</v>
      </c>
      <c r="G62" s="86">
        <f t="shared" si="33"/>
        <v>739.74</v>
      </c>
      <c r="H62" s="86">
        <f t="shared" si="34"/>
        <v>0</v>
      </c>
      <c r="I62" s="86">
        <f t="shared" si="35"/>
        <v>739.74</v>
      </c>
      <c r="J62" s="54"/>
      <c r="K62" s="54"/>
      <c r="L62" s="54">
        <f t="shared" si="36"/>
        <v>0</v>
      </c>
      <c r="M62" s="54">
        <f t="shared" si="37"/>
        <v>739.74</v>
      </c>
    </row>
    <row r="63">
      <c r="A63" s="53">
        <v>46090.0</v>
      </c>
      <c r="B63" s="53">
        <v>46093.0</v>
      </c>
      <c r="C63" s="53">
        <v>46094.0</v>
      </c>
      <c r="D63" s="84">
        <f t="shared" si="32"/>
        <v>1</v>
      </c>
      <c r="E63" s="52" t="s">
        <v>236</v>
      </c>
      <c r="F63" s="84">
        <f>D63*2</f>
        <v>2</v>
      </c>
      <c r="G63" s="86">
        <f t="shared" si="33"/>
        <v>369.87</v>
      </c>
      <c r="H63" s="86">
        <f t="shared" si="34"/>
        <v>379.96</v>
      </c>
      <c r="I63" s="86">
        <f t="shared" si="35"/>
        <v>749.83</v>
      </c>
      <c r="J63" s="54"/>
      <c r="K63" s="54"/>
      <c r="L63" s="54">
        <f t="shared" si="36"/>
        <v>0</v>
      </c>
      <c r="M63" s="54">
        <f t="shared" si="37"/>
        <v>749.83</v>
      </c>
    </row>
    <row r="64">
      <c r="A64" s="53">
        <v>46090.0</v>
      </c>
      <c r="B64" s="53">
        <v>46100.0</v>
      </c>
      <c r="C64" s="53">
        <v>46102.0</v>
      </c>
      <c r="D64" s="84">
        <f t="shared" si="32"/>
        <v>2</v>
      </c>
      <c r="E64" s="52" t="s">
        <v>237</v>
      </c>
      <c r="F64" s="84">
        <v>3.0</v>
      </c>
      <c r="G64" s="86">
        <f t="shared" si="33"/>
        <v>739.74</v>
      </c>
      <c r="H64" s="86">
        <f t="shared" si="34"/>
        <v>569.94</v>
      </c>
      <c r="I64" s="86">
        <f t="shared" si="35"/>
        <v>1309.68</v>
      </c>
      <c r="J64" s="54"/>
      <c r="K64" s="54"/>
      <c r="L64" s="54">
        <f t="shared" si="36"/>
        <v>0</v>
      </c>
      <c r="M64" s="54">
        <f t="shared" si="37"/>
        <v>1309.68</v>
      </c>
    </row>
    <row r="65">
      <c r="A65" s="53">
        <v>46090.0</v>
      </c>
      <c r="B65" s="53">
        <v>46107.0</v>
      </c>
      <c r="C65" s="53">
        <v>46108.0</v>
      </c>
      <c r="D65" s="84">
        <f t="shared" si="32"/>
        <v>1</v>
      </c>
      <c r="E65" s="52" t="s">
        <v>238</v>
      </c>
      <c r="F65" s="84">
        <f>D65*2</f>
        <v>2</v>
      </c>
      <c r="G65" s="86">
        <f t="shared" si="33"/>
        <v>369.87</v>
      </c>
      <c r="H65" s="86">
        <f t="shared" si="34"/>
        <v>379.96</v>
      </c>
      <c r="I65" s="86">
        <f t="shared" si="35"/>
        <v>749.83</v>
      </c>
      <c r="J65" s="54"/>
      <c r="K65" s="54"/>
      <c r="L65" s="54">
        <f t="shared" si="36"/>
        <v>0</v>
      </c>
      <c r="M65" s="54">
        <f t="shared" si="37"/>
        <v>749.83</v>
      </c>
    </row>
    <row r="66">
      <c r="A66" s="53">
        <v>46092.0</v>
      </c>
      <c r="B66" s="53">
        <v>46106.0</v>
      </c>
      <c r="C66" s="53">
        <v>46108.0</v>
      </c>
      <c r="D66" s="84">
        <f t="shared" si="32"/>
        <v>2</v>
      </c>
      <c r="E66" s="52" t="s">
        <v>239</v>
      </c>
      <c r="F66" s="84">
        <v>3.0</v>
      </c>
      <c r="G66" s="86">
        <f t="shared" si="33"/>
        <v>739.74</v>
      </c>
      <c r="H66" s="86">
        <f t="shared" si="34"/>
        <v>569.94</v>
      </c>
      <c r="I66" s="86">
        <f t="shared" si="35"/>
        <v>1309.68</v>
      </c>
      <c r="J66" s="54"/>
      <c r="K66" s="54"/>
      <c r="L66" s="54">
        <f t="shared" si="36"/>
        <v>0</v>
      </c>
      <c r="M66" s="54">
        <f t="shared" si="37"/>
        <v>1309.68</v>
      </c>
    </row>
    <row r="67">
      <c r="A67" s="53">
        <v>46092.0</v>
      </c>
      <c r="B67" s="53">
        <v>46106.0</v>
      </c>
      <c r="C67" s="53">
        <v>46109.0</v>
      </c>
      <c r="D67" s="84">
        <f t="shared" si="32"/>
        <v>3</v>
      </c>
      <c r="E67" s="52" t="s">
        <v>240</v>
      </c>
      <c r="F67" s="84">
        <v>5.0</v>
      </c>
      <c r="G67" s="86">
        <f t="shared" si="33"/>
        <v>1109.61</v>
      </c>
      <c r="H67" s="86">
        <f t="shared" si="34"/>
        <v>949.9</v>
      </c>
      <c r="I67" s="86">
        <f t="shared" si="35"/>
        <v>2059.51</v>
      </c>
      <c r="J67" s="54"/>
      <c r="K67" s="54"/>
      <c r="L67" s="54">
        <f t="shared" si="36"/>
        <v>0</v>
      </c>
      <c r="M67" s="54">
        <f t="shared" si="37"/>
        <v>2059.51</v>
      </c>
    </row>
    <row r="68">
      <c r="A68" s="53">
        <v>46092.0</v>
      </c>
      <c r="B68" s="53">
        <v>46107.0</v>
      </c>
      <c r="C68" s="53">
        <v>46109.0</v>
      </c>
      <c r="D68" s="84">
        <f t="shared" si="32"/>
        <v>2</v>
      </c>
      <c r="E68" s="52" t="s">
        <v>241</v>
      </c>
      <c r="F68" s="84">
        <v>3.0</v>
      </c>
      <c r="G68" s="86">
        <f t="shared" si="33"/>
        <v>739.74</v>
      </c>
      <c r="H68" s="86">
        <f t="shared" si="34"/>
        <v>569.94</v>
      </c>
      <c r="I68" s="86">
        <f t="shared" si="35"/>
        <v>1309.68</v>
      </c>
      <c r="J68" s="54"/>
      <c r="K68" s="54"/>
      <c r="L68" s="54">
        <f t="shared" si="36"/>
        <v>0</v>
      </c>
      <c r="M68" s="54">
        <f t="shared" si="37"/>
        <v>1309.68</v>
      </c>
    </row>
    <row r="69">
      <c r="D69" s="101"/>
      <c r="E69" s="17"/>
      <c r="F69" s="101"/>
      <c r="J69" s="36"/>
      <c r="K69" s="36"/>
    </row>
    <row r="70">
      <c r="H70" s="31" t="s">
        <v>79</v>
      </c>
      <c r="I70" s="90">
        <f>SUM(I56:I68)</f>
        <v>26023.8</v>
      </c>
      <c r="K70" s="36"/>
    </row>
    <row r="71">
      <c r="A71" s="94" t="s">
        <v>242</v>
      </c>
      <c r="B71" s="61"/>
      <c r="C71" s="61"/>
      <c r="D71" s="61"/>
      <c r="E71" s="61"/>
      <c r="F71" s="61"/>
      <c r="G71" s="61"/>
      <c r="H71" s="61"/>
      <c r="I71" s="61"/>
      <c r="J71" s="61"/>
      <c r="K71" s="61"/>
      <c r="L71" s="61"/>
      <c r="M71" s="62"/>
    </row>
    <row r="72">
      <c r="A72" s="26">
        <v>46108.0</v>
      </c>
      <c r="B72" s="26">
        <v>46121.0</v>
      </c>
      <c r="C72" s="26">
        <v>46123.0</v>
      </c>
      <c r="D72" s="84">
        <f t="shared" ref="D72:D77" si="39">IF(C72-B72=0,"",C72-B72)</f>
        <v>2</v>
      </c>
      <c r="E72" s="17" t="s">
        <v>243</v>
      </c>
      <c r="F72" s="84">
        <f>D72*2</f>
        <v>4</v>
      </c>
      <c r="G72" s="86">
        <f t="shared" ref="G72:G77" si="40">D72*O$3</f>
        <v>739.74</v>
      </c>
      <c r="H72" s="86">
        <f t="shared" ref="H72:H77" si="41">F72*O$4</f>
        <v>759.92</v>
      </c>
      <c r="I72" s="86">
        <f t="shared" ref="I72:I77" si="42">G72+H72</f>
        <v>1499.66</v>
      </c>
      <c r="J72" s="11">
        <v>1266.3</v>
      </c>
      <c r="K72" s="36"/>
      <c r="L72" s="54">
        <f t="shared" ref="L72:L76" si="43">SUM(J72:K72)</f>
        <v>1266.3</v>
      </c>
      <c r="M72" s="54">
        <f t="shared" ref="M72:M76" si="44">I72-L72</f>
        <v>233.36</v>
      </c>
    </row>
    <row r="73">
      <c r="A73" s="26">
        <v>46108.0</v>
      </c>
      <c r="B73" s="26">
        <v>46121.0</v>
      </c>
      <c r="C73" s="26">
        <v>46123.0</v>
      </c>
      <c r="D73" s="84">
        <f t="shared" si="39"/>
        <v>2</v>
      </c>
      <c r="E73" s="17" t="s">
        <v>244</v>
      </c>
      <c r="F73" s="84">
        <v>6.0</v>
      </c>
      <c r="G73" s="86">
        <f t="shared" si="40"/>
        <v>739.74</v>
      </c>
      <c r="H73" s="86">
        <f t="shared" si="41"/>
        <v>1139.88</v>
      </c>
      <c r="I73" s="86">
        <f t="shared" si="42"/>
        <v>1879.62</v>
      </c>
      <c r="J73" s="11">
        <v>1266.3</v>
      </c>
      <c r="K73" s="36"/>
      <c r="L73" s="54">
        <f t="shared" si="43"/>
        <v>1266.3</v>
      </c>
      <c r="M73" s="54">
        <f t="shared" si="44"/>
        <v>613.32</v>
      </c>
    </row>
    <row r="74">
      <c r="A74" s="26">
        <v>46108.0</v>
      </c>
      <c r="B74" s="26">
        <v>46138.0</v>
      </c>
      <c r="C74" s="26">
        <v>46140.0</v>
      </c>
      <c r="D74" s="84">
        <f t="shared" si="39"/>
        <v>2</v>
      </c>
      <c r="E74" s="17" t="s">
        <v>245</v>
      </c>
      <c r="F74" s="84">
        <v>5.0</v>
      </c>
      <c r="G74" s="86">
        <f t="shared" si="40"/>
        <v>739.74</v>
      </c>
      <c r="H74" s="86">
        <f t="shared" si="41"/>
        <v>949.9</v>
      </c>
      <c r="I74" s="86">
        <f t="shared" si="42"/>
        <v>1689.64</v>
      </c>
      <c r="J74" s="11">
        <v>945.0</v>
      </c>
      <c r="K74" s="36"/>
      <c r="L74" s="54">
        <f t="shared" si="43"/>
        <v>945</v>
      </c>
      <c r="M74" s="54">
        <f t="shared" si="44"/>
        <v>744.64</v>
      </c>
    </row>
    <row r="75">
      <c r="A75" s="26">
        <v>46108.0</v>
      </c>
      <c r="B75" s="26">
        <v>46138.0</v>
      </c>
      <c r="C75" s="26">
        <v>46140.0</v>
      </c>
      <c r="D75" s="84">
        <f t="shared" si="39"/>
        <v>2</v>
      </c>
      <c r="E75" s="17" t="s">
        <v>246</v>
      </c>
      <c r="F75" s="84">
        <f>D75*2</f>
        <v>4</v>
      </c>
      <c r="G75" s="86">
        <f t="shared" si="40"/>
        <v>739.74</v>
      </c>
      <c r="H75" s="86">
        <f t="shared" si="41"/>
        <v>759.92</v>
      </c>
      <c r="I75" s="86">
        <f t="shared" si="42"/>
        <v>1499.66</v>
      </c>
      <c r="J75" s="11">
        <v>945.0</v>
      </c>
      <c r="K75" s="36"/>
      <c r="L75" s="54">
        <f t="shared" si="43"/>
        <v>945</v>
      </c>
      <c r="M75" s="54">
        <f t="shared" si="44"/>
        <v>554.66</v>
      </c>
    </row>
    <row r="76">
      <c r="A76" s="26">
        <v>46108.0</v>
      </c>
      <c r="B76" s="26">
        <v>46126.0</v>
      </c>
      <c r="C76" s="26">
        <v>46129.0</v>
      </c>
      <c r="D76" s="84">
        <f t="shared" si="39"/>
        <v>3</v>
      </c>
      <c r="E76" s="17" t="s">
        <v>247</v>
      </c>
      <c r="F76" s="84">
        <v>5.0</v>
      </c>
      <c r="G76" s="86">
        <f t="shared" si="40"/>
        <v>1109.61</v>
      </c>
      <c r="H76" s="86">
        <f t="shared" si="41"/>
        <v>949.9</v>
      </c>
      <c r="I76" s="86">
        <f t="shared" si="42"/>
        <v>2059.51</v>
      </c>
      <c r="J76" s="11">
        <v>1417.5</v>
      </c>
      <c r="K76" s="36"/>
      <c r="L76" s="54">
        <f t="shared" si="43"/>
        <v>1417.5</v>
      </c>
      <c r="M76" s="54">
        <f t="shared" si="44"/>
        <v>642.01</v>
      </c>
    </row>
    <row r="77">
      <c r="A77" s="26">
        <v>46126.0</v>
      </c>
      <c r="B77" s="26">
        <v>46135.0</v>
      </c>
      <c r="C77" s="26">
        <v>46137.0</v>
      </c>
      <c r="D77" s="84">
        <f t="shared" si="39"/>
        <v>2</v>
      </c>
      <c r="E77" s="17" t="s">
        <v>248</v>
      </c>
      <c r="F77" s="84">
        <v>4.0</v>
      </c>
      <c r="G77" s="86">
        <f t="shared" si="40"/>
        <v>739.74</v>
      </c>
      <c r="H77" s="86">
        <f t="shared" si="41"/>
        <v>759.92</v>
      </c>
      <c r="I77" s="86">
        <f t="shared" si="42"/>
        <v>1499.66</v>
      </c>
      <c r="J77" s="102">
        <v>945.0</v>
      </c>
      <c r="K77" s="36"/>
      <c r="M77" s="54"/>
    </row>
    <row r="78">
      <c r="J78" s="36"/>
      <c r="K78" s="36"/>
    </row>
    <row r="79">
      <c r="H79" s="31" t="s">
        <v>79</v>
      </c>
      <c r="I79" s="90">
        <f>SUM(I72:I77)</f>
        <v>10127.75</v>
      </c>
      <c r="J79" s="36"/>
      <c r="K79" s="36"/>
      <c r="M79" s="36">
        <f>SUM(M72:M76)</f>
        <v>2787.99</v>
      </c>
      <c r="N79" s="17" t="s">
        <v>176</v>
      </c>
      <c r="O79" s="17" t="s">
        <v>177</v>
      </c>
    </row>
    <row r="80">
      <c r="A80" s="94" t="s">
        <v>249</v>
      </c>
      <c r="B80" s="61"/>
      <c r="C80" s="61"/>
      <c r="D80" s="61"/>
      <c r="E80" s="61"/>
      <c r="F80" s="61"/>
      <c r="G80" s="61"/>
      <c r="H80" s="61"/>
      <c r="I80" s="62"/>
      <c r="J80" s="103"/>
      <c r="K80" s="103"/>
      <c r="L80" s="103"/>
      <c r="M80" s="104"/>
    </row>
    <row r="81">
      <c r="A81" s="26">
        <v>46122.0</v>
      </c>
      <c r="B81" s="105">
        <v>0.0</v>
      </c>
      <c r="C81" s="17">
        <v>0.0</v>
      </c>
      <c r="D81" s="84">
        <v>0.0</v>
      </c>
      <c r="E81" s="72" t="s">
        <v>250</v>
      </c>
      <c r="F81" s="84">
        <v>1.0</v>
      </c>
      <c r="G81" s="86">
        <f t="shared" ref="G81:G89" si="45">D81*O$3</f>
        <v>0</v>
      </c>
      <c r="H81" s="86">
        <f t="shared" ref="H81:H89" si="46">F81*O$4</f>
        <v>189.98</v>
      </c>
      <c r="I81" s="86">
        <f t="shared" ref="I81:I89" si="47">G81+H81</f>
        <v>189.98</v>
      </c>
      <c r="J81" s="36"/>
      <c r="K81" s="11">
        <v>99.0</v>
      </c>
      <c r="L81" s="36">
        <f t="shared" ref="L81:L89" si="48">SUM(K81+J81)</f>
        <v>99</v>
      </c>
      <c r="M81" s="36">
        <f t="shared" ref="M81:M89" si="49">I81-L81</f>
        <v>90.98</v>
      </c>
    </row>
    <row r="82">
      <c r="A82" s="26">
        <v>46141.0</v>
      </c>
      <c r="B82" s="106">
        <v>46146.0</v>
      </c>
      <c r="C82" s="26">
        <v>46148.0</v>
      </c>
      <c r="D82" s="84">
        <f>IF(C82-B82=0,"",C82-B82)</f>
        <v>2</v>
      </c>
      <c r="E82" s="107" t="s">
        <v>251</v>
      </c>
      <c r="F82" s="84">
        <f>D82*2</f>
        <v>4</v>
      </c>
      <c r="G82" s="86">
        <f t="shared" si="45"/>
        <v>739.74</v>
      </c>
      <c r="H82" s="86">
        <f t="shared" si="46"/>
        <v>759.92</v>
      </c>
      <c r="I82" s="86">
        <f t="shared" si="47"/>
        <v>1499.66</v>
      </c>
      <c r="J82" s="11">
        <v>1171.8</v>
      </c>
      <c r="K82" s="11">
        <v>77.0</v>
      </c>
      <c r="L82" s="36">
        <f t="shared" si="48"/>
        <v>1248.8</v>
      </c>
      <c r="M82" s="36">
        <f t="shared" si="49"/>
        <v>250.86</v>
      </c>
    </row>
    <row r="83">
      <c r="A83" s="26">
        <v>46141.0</v>
      </c>
      <c r="B83" s="108">
        <v>46146.0</v>
      </c>
      <c r="C83" s="26">
        <v>46147.0</v>
      </c>
      <c r="D83" s="84">
        <v>1.0</v>
      </c>
      <c r="E83" s="107" t="s">
        <v>252</v>
      </c>
      <c r="F83" s="84">
        <v>0.0</v>
      </c>
      <c r="G83" s="86">
        <f t="shared" si="45"/>
        <v>369.87</v>
      </c>
      <c r="H83" s="86">
        <f t="shared" si="46"/>
        <v>0</v>
      </c>
      <c r="I83" s="86">
        <f t="shared" si="47"/>
        <v>369.87</v>
      </c>
      <c r="J83" s="109">
        <v>438.0</v>
      </c>
      <c r="K83" s="36"/>
      <c r="L83" s="36">
        <f t="shared" si="48"/>
        <v>438</v>
      </c>
      <c r="M83" s="36">
        <f t="shared" si="49"/>
        <v>-68.13</v>
      </c>
    </row>
    <row r="84">
      <c r="A84" s="26">
        <v>46141.0</v>
      </c>
      <c r="B84" s="108">
        <v>46149.0</v>
      </c>
      <c r="C84" s="26">
        <v>46150.0</v>
      </c>
      <c r="D84" s="84">
        <f t="shared" ref="D84:D88" si="50">IF(C84-B84=0,"",C84-B84)</f>
        <v>1</v>
      </c>
      <c r="E84" s="107" t="s">
        <v>253</v>
      </c>
      <c r="F84" s="84">
        <v>0.0</v>
      </c>
      <c r="G84" s="86">
        <f t="shared" si="45"/>
        <v>369.87</v>
      </c>
      <c r="H84" s="86">
        <f t="shared" si="46"/>
        <v>0</v>
      </c>
      <c r="I84" s="86">
        <f t="shared" si="47"/>
        <v>369.87</v>
      </c>
      <c r="J84" s="110">
        <v>585.9</v>
      </c>
      <c r="K84" s="36"/>
      <c r="L84" s="36">
        <f t="shared" si="48"/>
        <v>585.9</v>
      </c>
      <c r="M84" s="36">
        <f t="shared" si="49"/>
        <v>-216.03</v>
      </c>
    </row>
    <row r="85">
      <c r="A85" s="26">
        <v>46141.0</v>
      </c>
      <c r="B85" s="108">
        <v>46149.0</v>
      </c>
      <c r="C85" s="26">
        <v>46150.0</v>
      </c>
      <c r="D85" s="84">
        <f t="shared" si="50"/>
        <v>1</v>
      </c>
      <c r="E85" s="107" t="s">
        <v>254</v>
      </c>
      <c r="F85" s="84">
        <f t="shared" ref="F85:F89" si="51">D85*2</f>
        <v>2</v>
      </c>
      <c r="G85" s="86">
        <f t="shared" si="45"/>
        <v>369.87</v>
      </c>
      <c r="H85" s="86">
        <f t="shared" si="46"/>
        <v>379.96</v>
      </c>
      <c r="I85" s="86">
        <f t="shared" si="47"/>
        <v>749.83</v>
      </c>
      <c r="J85" s="110">
        <v>585.9</v>
      </c>
      <c r="K85" s="36"/>
      <c r="L85" s="36">
        <f t="shared" si="48"/>
        <v>585.9</v>
      </c>
      <c r="M85" s="36">
        <f t="shared" si="49"/>
        <v>163.93</v>
      </c>
    </row>
    <row r="86">
      <c r="A86" s="26">
        <v>46141.0</v>
      </c>
      <c r="B86" s="108">
        <v>46161.0</v>
      </c>
      <c r="C86" s="26">
        <v>46163.0</v>
      </c>
      <c r="D86" s="84">
        <f t="shared" si="50"/>
        <v>2</v>
      </c>
      <c r="E86" s="107" t="s">
        <v>255</v>
      </c>
      <c r="F86" s="84">
        <f t="shared" si="51"/>
        <v>4</v>
      </c>
      <c r="G86" s="86">
        <f t="shared" si="45"/>
        <v>739.74</v>
      </c>
      <c r="H86" s="86">
        <f t="shared" si="46"/>
        <v>759.92</v>
      </c>
      <c r="I86" s="86">
        <f t="shared" si="47"/>
        <v>1499.66</v>
      </c>
      <c r="J86" s="110">
        <v>973.36</v>
      </c>
      <c r="K86" s="36"/>
      <c r="L86" s="36">
        <f t="shared" si="48"/>
        <v>973.36</v>
      </c>
      <c r="M86" s="36">
        <f t="shared" si="49"/>
        <v>526.3</v>
      </c>
    </row>
    <row r="87">
      <c r="A87" s="26">
        <v>46141.0</v>
      </c>
      <c r="B87" s="108">
        <v>46163.0</v>
      </c>
      <c r="C87" s="26">
        <v>46165.0</v>
      </c>
      <c r="D87" s="84">
        <f t="shared" si="50"/>
        <v>2</v>
      </c>
      <c r="E87" s="107" t="s">
        <v>256</v>
      </c>
      <c r="F87" s="84">
        <f t="shared" si="51"/>
        <v>4</v>
      </c>
      <c r="G87" s="86">
        <f t="shared" si="45"/>
        <v>739.74</v>
      </c>
      <c r="H87" s="86">
        <f t="shared" si="46"/>
        <v>759.92</v>
      </c>
      <c r="I87" s="86">
        <f t="shared" si="47"/>
        <v>1499.66</v>
      </c>
      <c r="J87" s="110">
        <v>973.36</v>
      </c>
      <c r="K87" s="36"/>
      <c r="L87" s="36">
        <f t="shared" si="48"/>
        <v>973.36</v>
      </c>
      <c r="M87" s="36">
        <f t="shared" si="49"/>
        <v>526.3</v>
      </c>
    </row>
    <row r="88">
      <c r="A88" s="26">
        <v>46141.0</v>
      </c>
      <c r="B88" s="106">
        <v>46163.0</v>
      </c>
      <c r="C88" s="26">
        <v>46165.0</v>
      </c>
      <c r="D88" s="84">
        <f t="shared" si="50"/>
        <v>2</v>
      </c>
      <c r="E88" s="107" t="s">
        <v>257</v>
      </c>
      <c r="F88" s="84">
        <f t="shared" si="51"/>
        <v>4</v>
      </c>
      <c r="G88" s="86">
        <f t="shared" si="45"/>
        <v>739.74</v>
      </c>
      <c r="H88" s="86">
        <f t="shared" si="46"/>
        <v>759.92</v>
      </c>
      <c r="I88" s="86">
        <f t="shared" si="47"/>
        <v>1499.66</v>
      </c>
      <c r="J88" s="110">
        <v>973.36</v>
      </c>
      <c r="K88" s="36"/>
      <c r="L88" s="36">
        <f t="shared" si="48"/>
        <v>973.36</v>
      </c>
      <c r="M88" s="36">
        <f t="shared" si="49"/>
        <v>526.3</v>
      </c>
    </row>
    <row r="89">
      <c r="A89" s="26">
        <v>46141.0</v>
      </c>
      <c r="B89" s="108">
        <v>46166.0</v>
      </c>
      <c r="C89" s="26">
        <v>46167.0</v>
      </c>
      <c r="D89" s="84">
        <v>0.0</v>
      </c>
      <c r="E89" s="107" t="s">
        <v>258</v>
      </c>
      <c r="F89" s="84">
        <f t="shared" si="51"/>
        <v>0</v>
      </c>
      <c r="G89" s="86">
        <f t="shared" si="45"/>
        <v>0</v>
      </c>
      <c r="H89" s="86">
        <f t="shared" si="46"/>
        <v>0</v>
      </c>
      <c r="I89" s="86">
        <f t="shared" si="47"/>
        <v>0</v>
      </c>
      <c r="J89" s="110">
        <v>486.68</v>
      </c>
      <c r="K89" s="36"/>
      <c r="L89" s="36">
        <f t="shared" si="48"/>
        <v>486.68</v>
      </c>
      <c r="M89" s="36">
        <f t="shared" si="49"/>
        <v>-486.68</v>
      </c>
    </row>
    <row r="90">
      <c r="J90" s="36"/>
      <c r="K90" s="36"/>
    </row>
    <row r="91">
      <c r="J91" s="36"/>
      <c r="K91" s="36"/>
    </row>
    <row r="92">
      <c r="H92" s="31" t="s">
        <v>79</v>
      </c>
      <c r="I92" s="90">
        <f>SUM(I81:I90)</f>
        <v>7678.19</v>
      </c>
      <c r="J92" s="36"/>
      <c r="K92" s="36"/>
      <c r="M92" s="36">
        <f>SUM(M81:M89)</f>
        <v>1313.83</v>
      </c>
    </row>
    <row r="93">
      <c r="J93" s="36"/>
      <c r="K93" s="36"/>
    </row>
    <row r="94">
      <c r="J94" s="36"/>
      <c r="K94" s="36"/>
    </row>
    <row r="95">
      <c r="J95" s="36"/>
      <c r="K95" s="36"/>
    </row>
    <row r="96">
      <c r="J96" s="36"/>
      <c r="K96" s="36"/>
    </row>
    <row r="97">
      <c r="J97" s="36"/>
      <c r="K97" s="36"/>
    </row>
    <row r="98">
      <c r="J98" s="36"/>
      <c r="K98" s="36"/>
    </row>
    <row r="99">
      <c r="J99" s="36"/>
      <c r="K99" s="36"/>
    </row>
    <row r="100">
      <c r="J100" s="36"/>
      <c r="K100" s="36"/>
    </row>
    <row r="101">
      <c r="J101" s="36"/>
      <c r="K101" s="36"/>
    </row>
    <row r="102">
      <c r="J102" s="36"/>
      <c r="K102" s="36"/>
    </row>
    <row r="103">
      <c r="J103" s="36"/>
      <c r="K103" s="36"/>
    </row>
    <row r="104">
      <c r="J104" s="36"/>
      <c r="K104" s="36"/>
    </row>
    <row r="105">
      <c r="J105" s="36"/>
      <c r="K105" s="36"/>
    </row>
    <row r="106">
      <c r="J106" s="36"/>
      <c r="K106" s="36"/>
    </row>
    <row r="107">
      <c r="J107" s="36"/>
      <c r="K107" s="36"/>
    </row>
    <row r="108">
      <c r="J108" s="36"/>
      <c r="K108" s="36"/>
    </row>
    <row r="109">
      <c r="J109" s="36"/>
      <c r="K109" s="36"/>
    </row>
    <row r="110">
      <c r="J110" s="36"/>
      <c r="K110" s="36"/>
    </row>
    <row r="111">
      <c r="J111" s="36"/>
      <c r="K111" s="36"/>
    </row>
    <row r="112">
      <c r="J112" s="36"/>
      <c r="K112" s="36"/>
    </row>
    <row r="113">
      <c r="J113" s="36"/>
      <c r="K113" s="36"/>
    </row>
    <row r="114">
      <c r="J114" s="36"/>
      <c r="K114" s="36"/>
    </row>
    <row r="115">
      <c r="J115" s="36"/>
      <c r="K115" s="36"/>
    </row>
    <row r="116">
      <c r="J116" s="36"/>
      <c r="K116" s="36"/>
    </row>
    <row r="117">
      <c r="J117" s="36"/>
      <c r="K117" s="36"/>
    </row>
    <row r="118">
      <c r="J118" s="36"/>
      <c r="K118" s="36"/>
    </row>
    <row r="119">
      <c r="J119" s="36"/>
      <c r="K119" s="36"/>
    </row>
    <row r="120">
      <c r="J120" s="36"/>
      <c r="K120" s="36"/>
    </row>
    <row r="121">
      <c r="J121" s="36"/>
      <c r="K121" s="36"/>
    </row>
    <row r="122">
      <c r="J122" s="36"/>
      <c r="K122" s="36"/>
    </row>
    <row r="123">
      <c r="J123" s="36"/>
      <c r="K123" s="36"/>
    </row>
    <row r="124">
      <c r="J124" s="36"/>
      <c r="K124" s="36"/>
    </row>
    <row r="125">
      <c r="J125" s="36"/>
      <c r="K125" s="36"/>
    </row>
    <row r="126">
      <c r="J126" s="36"/>
      <c r="K126" s="36"/>
    </row>
    <row r="127">
      <c r="J127" s="36"/>
      <c r="K127" s="36"/>
    </row>
    <row r="128">
      <c r="J128" s="36"/>
      <c r="K128" s="36"/>
    </row>
    <row r="129">
      <c r="J129" s="36"/>
      <c r="K129" s="36"/>
    </row>
    <row r="130">
      <c r="J130" s="36"/>
      <c r="K130" s="36"/>
    </row>
    <row r="131">
      <c r="J131" s="36"/>
      <c r="K131" s="36"/>
    </row>
    <row r="132">
      <c r="J132" s="36"/>
      <c r="K132" s="36"/>
    </row>
    <row r="133">
      <c r="J133" s="36"/>
      <c r="K133" s="36"/>
    </row>
    <row r="134">
      <c r="J134" s="36"/>
      <c r="K134" s="36"/>
    </row>
    <row r="135">
      <c r="J135" s="36"/>
      <c r="K135" s="36"/>
    </row>
    <row r="136">
      <c r="J136" s="36"/>
      <c r="K136" s="36"/>
    </row>
    <row r="137">
      <c r="J137" s="36"/>
      <c r="K137" s="36"/>
    </row>
    <row r="138">
      <c r="J138" s="36"/>
      <c r="K138" s="36"/>
    </row>
    <row r="139">
      <c r="J139" s="36"/>
      <c r="K139" s="36"/>
    </row>
    <row r="140">
      <c r="J140" s="36"/>
      <c r="K140" s="36"/>
    </row>
    <row r="141">
      <c r="J141" s="36"/>
      <c r="K141" s="36"/>
    </row>
    <row r="142">
      <c r="J142" s="36"/>
      <c r="K142" s="36"/>
    </row>
    <row r="143">
      <c r="J143" s="36"/>
      <c r="K143" s="36"/>
    </row>
    <row r="144">
      <c r="J144" s="36"/>
      <c r="K144" s="36"/>
    </row>
    <row r="145">
      <c r="J145" s="36"/>
      <c r="K145" s="36"/>
    </row>
    <row r="146">
      <c r="J146" s="36"/>
      <c r="K146" s="36"/>
    </row>
    <row r="147">
      <c r="J147" s="36"/>
      <c r="K147" s="36"/>
    </row>
    <row r="148">
      <c r="J148" s="36"/>
      <c r="K148" s="36"/>
    </row>
    <row r="149">
      <c r="J149" s="36"/>
      <c r="K149" s="36"/>
    </row>
    <row r="150">
      <c r="J150" s="36"/>
      <c r="K150" s="36"/>
    </row>
    <row r="151">
      <c r="J151" s="36"/>
      <c r="K151" s="36"/>
    </row>
    <row r="152">
      <c r="J152" s="36"/>
      <c r="K152" s="36"/>
    </row>
    <row r="153">
      <c r="J153" s="36"/>
      <c r="K153" s="36"/>
    </row>
    <row r="154">
      <c r="J154" s="36"/>
      <c r="K154" s="36"/>
    </row>
    <row r="155">
      <c r="J155" s="36"/>
      <c r="K155" s="36"/>
    </row>
    <row r="156">
      <c r="J156" s="36"/>
      <c r="K156" s="36"/>
    </row>
    <row r="157">
      <c r="J157" s="36"/>
      <c r="K157" s="36"/>
    </row>
    <row r="158">
      <c r="J158" s="36"/>
      <c r="K158" s="36"/>
    </row>
    <row r="159">
      <c r="J159" s="36"/>
      <c r="K159" s="36"/>
    </row>
    <row r="160">
      <c r="J160" s="36"/>
      <c r="K160" s="36"/>
    </row>
    <row r="161">
      <c r="J161" s="36"/>
      <c r="K161" s="36"/>
    </row>
    <row r="162">
      <c r="J162" s="36"/>
      <c r="K162" s="36"/>
    </row>
    <row r="163">
      <c r="J163" s="36"/>
      <c r="K163" s="36"/>
    </row>
    <row r="164">
      <c r="J164" s="36"/>
      <c r="K164" s="36"/>
    </row>
    <row r="165">
      <c r="J165" s="36"/>
      <c r="K165" s="36"/>
    </row>
    <row r="166">
      <c r="J166" s="36"/>
      <c r="K166" s="36"/>
    </row>
    <row r="167">
      <c r="J167" s="36"/>
      <c r="K167" s="36"/>
    </row>
    <row r="168">
      <c r="J168" s="36"/>
      <c r="K168" s="36"/>
    </row>
    <row r="169">
      <c r="J169" s="36"/>
      <c r="K169" s="36"/>
    </row>
    <row r="170">
      <c r="J170" s="36"/>
      <c r="K170" s="36"/>
    </row>
    <row r="171">
      <c r="J171" s="36"/>
      <c r="K171" s="36"/>
    </row>
    <row r="172">
      <c r="J172" s="36"/>
      <c r="K172" s="36"/>
    </row>
    <row r="173">
      <c r="J173" s="36"/>
      <c r="K173" s="36"/>
    </row>
    <row r="174">
      <c r="J174" s="36"/>
      <c r="K174" s="36"/>
    </row>
    <row r="175">
      <c r="J175" s="36"/>
      <c r="K175" s="36"/>
    </row>
    <row r="176">
      <c r="J176" s="36"/>
      <c r="K176" s="36"/>
    </row>
    <row r="177">
      <c r="J177" s="36"/>
      <c r="K177" s="36"/>
    </row>
    <row r="178">
      <c r="J178" s="36"/>
      <c r="K178" s="36"/>
    </row>
    <row r="179">
      <c r="J179" s="36"/>
      <c r="K179" s="36"/>
    </row>
    <row r="180">
      <c r="J180" s="36"/>
      <c r="K180" s="36"/>
    </row>
    <row r="181">
      <c r="J181" s="36"/>
      <c r="K181" s="36"/>
    </row>
    <row r="182">
      <c r="J182" s="36"/>
      <c r="K182" s="36"/>
    </row>
    <row r="183">
      <c r="J183" s="36"/>
      <c r="K183" s="36"/>
    </row>
    <row r="184">
      <c r="J184" s="36"/>
      <c r="K184" s="36"/>
    </row>
    <row r="185">
      <c r="J185" s="36"/>
      <c r="K185" s="36"/>
    </row>
    <row r="186">
      <c r="J186" s="36"/>
      <c r="K186" s="36"/>
    </row>
    <row r="187">
      <c r="J187" s="36"/>
      <c r="K187" s="36"/>
    </row>
    <row r="188">
      <c r="J188" s="36"/>
      <c r="K188" s="36"/>
    </row>
    <row r="189">
      <c r="J189" s="36"/>
      <c r="K189" s="36"/>
    </row>
    <row r="190">
      <c r="J190" s="36"/>
      <c r="K190" s="36"/>
    </row>
    <row r="191">
      <c r="J191" s="36"/>
      <c r="K191" s="36"/>
    </row>
    <row r="192">
      <c r="J192" s="36"/>
      <c r="K192" s="36"/>
    </row>
    <row r="193">
      <c r="J193" s="36"/>
      <c r="K193" s="36"/>
    </row>
    <row r="194">
      <c r="J194" s="36"/>
      <c r="K194" s="36"/>
    </row>
    <row r="195">
      <c r="J195" s="36"/>
      <c r="K195" s="36"/>
    </row>
    <row r="196">
      <c r="J196" s="36"/>
      <c r="K196" s="36"/>
    </row>
    <row r="197">
      <c r="J197" s="36"/>
      <c r="K197" s="36"/>
    </row>
    <row r="198">
      <c r="J198" s="36"/>
      <c r="K198" s="36"/>
    </row>
    <row r="199">
      <c r="J199" s="36"/>
      <c r="K199" s="36"/>
    </row>
    <row r="200">
      <c r="J200" s="36"/>
      <c r="K200" s="36"/>
    </row>
    <row r="201">
      <c r="J201" s="36"/>
      <c r="K201" s="36"/>
    </row>
    <row r="202">
      <c r="J202" s="36"/>
      <c r="K202" s="36"/>
    </row>
    <row r="203">
      <c r="J203" s="36"/>
      <c r="K203" s="36"/>
    </row>
    <row r="204">
      <c r="J204" s="36"/>
      <c r="K204" s="36"/>
    </row>
    <row r="205">
      <c r="J205" s="36"/>
      <c r="K205" s="36"/>
    </row>
    <row r="206">
      <c r="J206" s="36"/>
      <c r="K206" s="36"/>
    </row>
    <row r="207">
      <c r="J207" s="36"/>
      <c r="K207" s="36"/>
    </row>
    <row r="208">
      <c r="J208" s="36"/>
      <c r="K208" s="36"/>
    </row>
    <row r="209">
      <c r="J209" s="36"/>
      <c r="K209" s="36"/>
    </row>
    <row r="210">
      <c r="J210" s="36"/>
      <c r="K210" s="36"/>
    </row>
    <row r="211">
      <c r="J211" s="36"/>
      <c r="K211" s="36"/>
    </row>
    <row r="212">
      <c r="J212" s="36"/>
      <c r="K212" s="36"/>
    </row>
    <row r="213">
      <c r="J213" s="36"/>
      <c r="K213" s="36"/>
    </row>
    <row r="214">
      <c r="J214" s="36"/>
      <c r="K214" s="36"/>
    </row>
    <row r="215">
      <c r="J215" s="36"/>
      <c r="K215" s="36"/>
    </row>
    <row r="216">
      <c r="J216" s="36"/>
      <c r="K216" s="36"/>
    </row>
    <row r="217">
      <c r="J217" s="36"/>
      <c r="K217" s="36"/>
    </row>
    <row r="218">
      <c r="J218" s="36"/>
      <c r="K218" s="36"/>
    </row>
    <row r="219">
      <c r="J219" s="36"/>
      <c r="K219" s="36"/>
    </row>
    <row r="220">
      <c r="J220" s="36"/>
      <c r="K220" s="36"/>
    </row>
    <row r="221">
      <c r="J221" s="36"/>
      <c r="K221" s="36"/>
    </row>
    <row r="222">
      <c r="J222" s="36"/>
      <c r="K222" s="36"/>
    </row>
    <row r="223">
      <c r="J223" s="36"/>
      <c r="K223" s="36"/>
    </row>
    <row r="224">
      <c r="J224" s="36"/>
      <c r="K224" s="36"/>
    </row>
    <row r="225">
      <c r="J225" s="36"/>
      <c r="K225" s="36"/>
    </row>
    <row r="226">
      <c r="J226" s="36"/>
      <c r="K226" s="36"/>
    </row>
    <row r="227">
      <c r="J227" s="36"/>
      <c r="K227" s="36"/>
    </row>
    <row r="228">
      <c r="J228" s="36"/>
      <c r="K228" s="36"/>
    </row>
    <row r="229">
      <c r="J229" s="36"/>
      <c r="K229" s="36"/>
    </row>
    <row r="230">
      <c r="J230" s="36"/>
      <c r="K230" s="36"/>
    </row>
    <row r="231">
      <c r="J231" s="36"/>
      <c r="K231" s="36"/>
    </row>
    <row r="232">
      <c r="J232" s="36"/>
      <c r="K232" s="36"/>
    </row>
    <row r="233">
      <c r="J233" s="36"/>
      <c r="K233" s="36"/>
    </row>
    <row r="234">
      <c r="J234" s="36"/>
      <c r="K234" s="36"/>
    </row>
    <row r="235">
      <c r="J235" s="36"/>
      <c r="K235" s="36"/>
    </row>
    <row r="236">
      <c r="J236" s="36"/>
      <c r="K236" s="36"/>
    </row>
    <row r="237">
      <c r="J237" s="36"/>
      <c r="K237" s="36"/>
    </row>
    <row r="238">
      <c r="J238" s="36"/>
      <c r="K238" s="36"/>
    </row>
    <row r="239">
      <c r="J239" s="36"/>
      <c r="K239" s="36"/>
    </row>
    <row r="240">
      <c r="J240" s="36"/>
      <c r="K240" s="36"/>
    </row>
    <row r="241">
      <c r="J241" s="36"/>
      <c r="K241" s="36"/>
    </row>
    <row r="242">
      <c r="J242" s="36"/>
      <c r="K242" s="36"/>
    </row>
    <row r="243">
      <c r="J243" s="36"/>
      <c r="K243" s="36"/>
    </row>
    <row r="244">
      <c r="J244" s="36"/>
      <c r="K244" s="36"/>
    </row>
    <row r="245">
      <c r="J245" s="36"/>
      <c r="K245" s="36"/>
    </row>
    <row r="246">
      <c r="J246" s="36"/>
      <c r="K246" s="36"/>
    </row>
    <row r="247">
      <c r="J247" s="36"/>
      <c r="K247" s="36"/>
    </row>
    <row r="248">
      <c r="J248" s="36"/>
      <c r="K248" s="36"/>
    </row>
    <row r="249">
      <c r="J249" s="36"/>
      <c r="K249" s="36"/>
    </row>
    <row r="250">
      <c r="J250" s="36"/>
      <c r="K250" s="36"/>
    </row>
    <row r="251">
      <c r="J251" s="36"/>
      <c r="K251" s="36"/>
    </row>
    <row r="252">
      <c r="J252" s="36"/>
      <c r="K252" s="36"/>
    </row>
    <row r="253">
      <c r="J253" s="36"/>
      <c r="K253" s="36"/>
    </row>
    <row r="254">
      <c r="J254" s="36"/>
      <c r="K254" s="36"/>
    </row>
    <row r="255">
      <c r="J255" s="36"/>
      <c r="K255" s="36"/>
    </row>
    <row r="256">
      <c r="J256" s="36"/>
      <c r="K256" s="36"/>
    </row>
    <row r="257">
      <c r="J257" s="36"/>
      <c r="K257" s="36"/>
    </row>
    <row r="258">
      <c r="J258" s="36"/>
      <c r="K258" s="36"/>
    </row>
    <row r="259">
      <c r="J259" s="36"/>
      <c r="K259" s="36"/>
    </row>
    <row r="260">
      <c r="J260" s="36"/>
      <c r="K260" s="36"/>
    </row>
    <row r="261">
      <c r="J261" s="36"/>
      <c r="K261" s="36"/>
    </row>
    <row r="262">
      <c r="J262" s="36"/>
      <c r="K262" s="36"/>
    </row>
    <row r="263">
      <c r="J263" s="36"/>
      <c r="K263" s="36"/>
    </row>
    <row r="264">
      <c r="J264" s="36"/>
      <c r="K264" s="36"/>
    </row>
    <row r="265">
      <c r="J265" s="36"/>
      <c r="K265" s="36"/>
    </row>
    <row r="266">
      <c r="J266" s="36"/>
      <c r="K266" s="36"/>
    </row>
    <row r="267">
      <c r="J267" s="36"/>
      <c r="K267" s="36"/>
    </row>
    <row r="268">
      <c r="J268" s="36"/>
      <c r="K268" s="36"/>
    </row>
    <row r="269">
      <c r="J269" s="36"/>
      <c r="K269" s="36"/>
    </row>
    <row r="270">
      <c r="J270" s="36"/>
      <c r="K270" s="36"/>
    </row>
    <row r="271">
      <c r="J271" s="36"/>
      <c r="K271" s="36"/>
    </row>
    <row r="272">
      <c r="J272" s="36"/>
      <c r="K272" s="36"/>
    </row>
    <row r="273">
      <c r="J273" s="36"/>
      <c r="K273" s="36"/>
    </row>
    <row r="274">
      <c r="J274" s="36"/>
      <c r="K274" s="36"/>
    </row>
    <row r="275">
      <c r="J275" s="36"/>
      <c r="K275" s="36"/>
    </row>
    <row r="276">
      <c r="J276" s="36"/>
      <c r="K276" s="36"/>
    </row>
    <row r="277">
      <c r="J277" s="36"/>
      <c r="K277" s="36"/>
    </row>
    <row r="278">
      <c r="J278" s="36"/>
      <c r="K278" s="36"/>
    </row>
    <row r="279">
      <c r="J279" s="36"/>
      <c r="K279" s="36"/>
    </row>
    <row r="280">
      <c r="J280" s="36"/>
      <c r="K280" s="36"/>
    </row>
    <row r="281">
      <c r="J281" s="36"/>
      <c r="K281" s="36"/>
    </row>
    <row r="282">
      <c r="J282" s="36"/>
      <c r="K282" s="36"/>
    </row>
    <row r="283">
      <c r="J283" s="36"/>
      <c r="K283" s="36"/>
    </row>
    <row r="284">
      <c r="J284" s="36"/>
      <c r="K284" s="36"/>
    </row>
    <row r="285">
      <c r="J285" s="36"/>
      <c r="K285" s="36"/>
    </row>
    <row r="286">
      <c r="J286" s="36"/>
      <c r="K286" s="36"/>
    </row>
    <row r="287">
      <c r="J287" s="36"/>
      <c r="K287" s="36"/>
    </row>
    <row r="288">
      <c r="J288" s="36"/>
      <c r="K288" s="36"/>
    </row>
    <row r="289">
      <c r="J289" s="36"/>
      <c r="K289" s="36"/>
    </row>
    <row r="290">
      <c r="J290" s="36"/>
      <c r="K290" s="36"/>
    </row>
    <row r="291">
      <c r="J291" s="36"/>
      <c r="K291" s="36"/>
    </row>
    <row r="292">
      <c r="J292" s="36"/>
      <c r="K292" s="36"/>
    </row>
    <row r="293">
      <c r="J293" s="36"/>
      <c r="K293" s="36"/>
    </row>
    <row r="294">
      <c r="J294" s="36"/>
      <c r="K294" s="36"/>
    </row>
    <row r="295">
      <c r="J295" s="36"/>
      <c r="K295" s="36"/>
    </row>
    <row r="296">
      <c r="J296" s="36"/>
      <c r="K296" s="36"/>
    </row>
    <row r="297">
      <c r="J297" s="36"/>
      <c r="K297" s="36"/>
    </row>
    <row r="298">
      <c r="J298" s="36"/>
      <c r="K298" s="36"/>
    </row>
    <row r="299">
      <c r="J299" s="36"/>
      <c r="K299" s="36"/>
    </row>
    <row r="300">
      <c r="J300" s="36"/>
      <c r="K300" s="36"/>
    </row>
    <row r="301">
      <c r="J301" s="36"/>
      <c r="K301" s="36"/>
    </row>
    <row r="302">
      <c r="J302" s="36"/>
      <c r="K302" s="36"/>
    </row>
    <row r="303">
      <c r="J303" s="36"/>
      <c r="K303" s="36"/>
    </row>
    <row r="304">
      <c r="J304" s="36"/>
      <c r="K304" s="36"/>
    </row>
    <row r="305">
      <c r="J305" s="36"/>
      <c r="K305" s="36"/>
    </row>
    <row r="306">
      <c r="J306" s="36"/>
      <c r="K306" s="36"/>
    </row>
    <row r="307">
      <c r="J307" s="36"/>
      <c r="K307" s="36"/>
    </row>
    <row r="308">
      <c r="J308" s="36"/>
      <c r="K308" s="36"/>
    </row>
    <row r="309">
      <c r="J309" s="36"/>
      <c r="K309" s="36"/>
    </row>
    <row r="310">
      <c r="J310" s="36"/>
      <c r="K310" s="36"/>
    </row>
    <row r="311">
      <c r="J311" s="36"/>
      <c r="K311" s="36"/>
    </row>
    <row r="312">
      <c r="J312" s="36"/>
      <c r="K312" s="36"/>
    </row>
    <row r="313">
      <c r="J313" s="36"/>
      <c r="K313" s="36"/>
    </row>
    <row r="314">
      <c r="J314" s="36"/>
      <c r="K314" s="36"/>
    </row>
    <row r="315">
      <c r="J315" s="36"/>
      <c r="K315" s="36"/>
    </row>
    <row r="316">
      <c r="J316" s="36"/>
      <c r="K316" s="36"/>
    </row>
    <row r="317">
      <c r="J317" s="36"/>
      <c r="K317" s="36"/>
    </row>
    <row r="318">
      <c r="J318" s="36"/>
      <c r="K318" s="36"/>
    </row>
    <row r="319">
      <c r="J319" s="36"/>
      <c r="K319" s="36"/>
    </row>
    <row r="320">
      <c r="J320" s="36"/>
      <c r="K320" s="36"/>
    </row>
    <row r="321">
      <c r="J321" s="36"/>
      <c r="K321" s="36"/>
    </row>
    <row r="322">
      <c r="J322" s="36"/>
      <c r="K322" s="36"/>
    </row>
    <row r="323">
      <c r="J323" s="36"/>
      <c r="K323" s="36"/>
    </row>
    <row r="324">
      <c r="J324" s="36"/>
      <c r="K324" s="36"/>
    </row>
    <row r="325">
      <c r="J325" s="36"/>
      <c r="K325" s="36"/>
    </row>
    <row r="326">
      <c r="J326" s="36"/>
      <c r="K326" s="36"/>
    </row>
    <row r="327">
      <c r="J327" s="36"/>
      <c r="K327" s="36"/>
    </row>
    <row r="328">
      <c r="J328" s="36"/>
      <c r="K328" s="36"/>
    </row>
    <row r="329">
      <c r="J329" s="36"/>
      <c r="K329" s="36"/>
    </row>
    <row r="330">
      <c r="J330" s="36"/>
      <c r="K330" s="36"/>
    </row>
    <row r="331">
      <c r="J331" s="36"/>
      <c r="K331" s="36"/>
    </row>
    <row r="332">
      <c r="J332" s="36"/>
      <c r="K332" s="36"/>
    </row>
    <row r="333">
      <c r="J333" s="36"/>
      <c r="K333" s="36"/>
    </row>
    <row r="334">
      <c r="J334" s="36"/>
      <c r="K334" s="36"/>
    </row>
    <row r="335">
      <c r="J335" s="36"/>
      <c r="K335" s="36"/>
    </row>
    <row r="336">
      <c r="J336" s="36"/>
      <c r="K336" s="36"/>
    </row>
    <row r="337">
      <c r="J337" s="36"/>
      <c r="K337" s="36"/>
    </row>
    <row r="338">
      <c r="J338" s="36"/>
      <c r="K338" s="36"/>
    </row>
    <row r="339">
      <c r="J339" s="36"/>
      <c r="K339" s="36"/>
    </row>
    <row r="340">
      <c r="J340" s="36"/>
      <c r="K340" s="36"/>
    </row>
    <row r="341">
      <c r="J341" s="36"/>
      <c r="K341" s="36"/>
    </row>
    <row r="342">
      <c r="J342" s="36"/>
      <c r="K342" s="36"/>
    </row>
    <row r="343">
      <c r="J343" s="36"/>
      <c r="K343" s="36"/>
    </row>
    <row r="344">
      <c r="J344" s="36"/>
      <c r="K344" s="36"/>
    </row>
    <row r="345">
      <c r="J345" s="36"/>
      <c r="K345" s="36"/>
    </row>
    <row r="346">
      <c r="J346" s="36"/>
      <c r="K346" s="36"/>
    </row>
    <row r="347">
      <c r="J347" s="36"/>
      <c r="K347" s="36"/>
    </row>
    <row r="348">
      <c r="J348" s="36"/>
      <c r="K348" s="36"/>
    </row>
    <row r="349">
      <c r="J349" s="36"/>
      <c r="K349" s="36"/>
    </row>
    <row r="350">
      <c r="J350" s="36"/>
      <c r="K350" s="36"/>
    </row>
    <row r="351">
      <c r="J351" s="36"/>
      <c r="K351" s="36"/>
    </row>
    <row r="352">
      <c r="J352" s="36"/>
      <c r="K352" s="36"/>
    </row>
    <row r="353">
      <c r="J353" s="36"/>
      <c r="K353" s="36"/>
    </row>
    <row r="354">
      <c r="J354" s="36"/>
      <c r="K354" s="36"/>
    </row>
    <row r="355">
      <c r="J355" s="36"/>
      <c r="K355" s="36"/>
    </row>
    <row r="356">
      <c r="J356" s="36"/>
      <c r="K356" s="36"/>
    </row>
    <row r="357">
      <c r="J357" s="36"/>
      <c r="K357" s="36"/>
    </row>
    <row r="358">
      <c r="J358" s="36"/>
      <c r="K358" s="36"/>
    </row>
    <row r="359">
      <c r="J359" s="36"/>
      <c r="K359" s="36"/>
    </row>
    <row r="360">
      <c r="J360" s="36"/>
      <c r="K360" s="36"/>
    </row>
    <row r="361">
      <c r="J361" s="36"/>
      <c r="K361" s="36"/>
    </row>
    <row r="362">
      <c r="J362" s="36"/>
      <c r="K362" s="36"/>
    </row>
    <row r="363">
      <c r="J363" s="36"/>
      <c r="K363" s="36"/>
    </row>
    <row r="364">
      <c r="J364" s="36"/>
      <c r="K364" s="36"/>
    </row>
    <row r="365">
      <c r="J365" s="36"/>
      <c r="K365" s="36"/>
    </row>
    <row r="366">
      <c r="J366" s="36"/>
      <c r="K366" s="36"/>
    </row>
    <row r="367">
      <c r="J367" s="36"/>
      <c r="K367" s="36"/>
    </row>
    <row r="368">
      <c r="J368" s="36"/>
      <c r="K368" s="36"/>
    </row>
    <row r="369">
      <c r="J369" s="36"/>
      <c r="K369" s="36"/>
    </row>
    <row r="370">
      <c r="J370" s="36"/>
      <c r="K370" s="36"/>
    </row>
    <row r="371">
      <c r="J371" s="36"/>
      <c r="K371" s="36"/>
    </row>
    <row r="372">
      <c r="J372" s="36"/>
      <c r="K372" s="36"/>
    </row>
    <row r="373">
      <c r="J373" s="36"/>
      <c r="K373" s="36"/>
    </row>
    <row r="374">
      <c r="J374" s="36"/>
      <c r="K374" s="36"/>
    </row>
    <row r="375">
      <c r="J375" s="36"/>
      <c r="K375" s="36"/>
    </row>
    <row r="376">
      <c r="J376" s="36"/>
      <c r="K376" s="36"/>
    </row>
    <row r="377">
      <c r="J377" s="36"/>
      <c r="K377" s="36"/>
    </row>
    <row r="378">
      <c r="J378" s="36"/>
      <c r="K378" s="36"/>
    </row>
    <row r="379">
      <c r="J379" s="36"/>
      <c r="K379" s="36"/>
    </row>
    <row r="380">
      <c r="J380" s="36"/>
      <c r="K380" s="36"/>
    </row>
    <row r="381">
      <c r="J381" s="36"/>
      <c r="K381" s="36"/>
    </row>
    <row r="382">
      <c r="J382" s="36"/>
      <c r="K382" s="36"/>
    </row>
    <row r="383">
      <c r="J383" s="36"/>
      <c r="K383" s="36"/>
    </row>
    <row r="384">
      <c r="J384" s="36"/>
      <c r="K384" s="36"/>
    </row>
    <row r="385">
      <c r="J385" s="36"/>
      <c r="K385" s="36"/>
    </row>
    <row r="386">
      <c r="J386" s="36"/>
      <c r="K386" s="36"/>
    </row>
    <row r="387">
      <c r="J387" s="36"/>
      <c r="K387" s="36"/>
    </row>
    <row r="388">
      <c r="J388" s="36"/>
      <c r="K388" s="36"/>
    </row>
    <row r="389">
      <c r="J389" s="36"/>
      <c r="K389" s="36"/>
    </row>
    <row r="390">
      <c r="J390" s="36"/>
      <c r="K390" s="36"/>
    </row>
    <row r="391">
      <c r="J391" s="36"/>
      <c r="K391" s="36"/>
    </row>
    <row r="392">
      <c r="J392" s="36"/>
      <c r="K392" s="36"/>
    </row>
    <row r="393">
      <c r="J393" s="36"/>
      <c r="K393" s="36"/>
    </row>
    <row r="394">
      <c r="J394" s="36"/>
      <c r="K394" s="36"/>
    </row>
    <row r="395">
      <c r="J395" s="36"/>
      <c r="K395" s="36"/>
    </row>
    <row r="396">
      <c r="J396" s="36"/>
      <c r="K396" s="36"/>
    </row>
    <row r="397">
      <c r="J397" s="36"/>
      <c r="K397" s="36"/>
    </row>
    <row r="398">
      <c r="J398" s="36"/>
      <c r="K398" s="36"/>
    </row>
    <row r="399">
      <c r="J399" s="36"/>
      <c r="K399" s="36"/>
    </row>
    <row r="400">
      <c r="J400" s="36"/>
      <c r="K400" s="36"/>
    </row>
    <row r="401">
      <c r="J401" s="36"/>
      <c r="K401" s="36"/>
    </row>
    <row r="402">
      <c r="J402" s="36"/>
      <c r="K402" s="36"/>
    </row>
    <row r="403">
      <c r="J403" s="36"/>
      <c r="K403" s="36"/>
    </row>
    <row r="404">
      <c r="J404" s="36"/>
      <c r="K404" s="36"/>
    </row>
    <row r="405">
      <c r="J405" s="36"/>
      <c r="K405" s="36"/>
    </row>
    <row r="406">
      <c r="J406" s="36"/>
      <c r="K406" s="36"/>
    </row>
    <row r="407">
      <c r="J407" s="36"/>
      <c r="K407" s="36"/>
    </row>
    <row r="408">
      <c r="J408" s="36"/>
      <c r="K408" s="36"/>
    </row>
    <row r="409">
      <c r="J409" s="36"/>
      <c r="K409" s="36"/>
    </row>
    <row r="410">
      <c r="J410" s="36"/>
      <c r="K410" s="36"/>
    </row>
    <row r="411">
      <c r="J411" s="36"/>
      <c r="K411" s="36"/>
    </row>
    <row r="412">
      <c r="J412" s="36"/>
      <c r="K412" s="36"/>
    </row>
    <row r="413">
      <c r="J413" s="36"/>
      <c r="K413" s="36"/>
    </row>
    <row r="414">
      <c r="J414" s="36"/>
      <c r="K414" s="36"/>
    </row>
    <row r="415">
      <c r="J415" s="36"/>
      <c r="K415" s="36"/>
    </row>
    <row r="416">
      <c r="J416" s="36"/>
      <c r="K416" s="36"/>
    </row>
    <row r="417">
      <c r="J417" s="36"/>
      <c r="K417" s="36"/>
    </row>
    <row r="418">
      <c r="J418" s="36"/>
      <c r="K418" s="36"/>
    </row>
    <row r="419">
      <c r="J419" s="36"/>
      <c r="K419" s="36"/>
    </row>
    <row r="420">
      <c r="J420" s="36"/>
      <c r="K420" s="36"/>
    </row>
    <row r="421">
      <c r="J421" s="36"/>
      <c r="K421" s="36"/>
    </row>
    <row r="422">
      <c r="J422" s="36"/>
      <c r="K422" s="36"/>
    </row>
    <row r="423">
      <c r="J423" s="36"/>
      <c r="K423" s="36"/>
    </row>
    <row r="424">
      <c r="J424" s="36"/>
      <c r="K424" s="36"/>
    </row>
    <row r="425">
      <c r="J425" s="36"/>
      <c r="K425" s="36"/>
    </row>
    <row r="426">
      <c r="J426" s="36"/>
      <c r="K426" s="36"/>
    </row>
    <row r="427">
      <c r="J427" s="36"/>
      <c r="K427" s="36"/>
    </row>
    <row r="428">
      <c r="J428" s="36"/>
      <c r="K428" s="36"/>
    </row>
    <row r="429">
      <c r="J429" s="36"/>
      <c r="K429" s="36"/>
    </row>
    <row r="430">
      <c r="J430" s="36"/>
      <c r="K430" s="36"/>
    </row>
    <row r="431">
      <c r="J431" s="36"/>
      <c r="K431" s="36"/>
    </row>
    <row r="432">
      <c r="J432" s="36"/>
      <c r="K432" s="36"/>
    </row>
    <row r="433">
      <c r="J433" s="36"/>
      <c r="K433" s="36"/>
    </row>
    <row r="434">
      <c r="J434" s="36"/>
      <c r="K434" s="36"/>
    </row>
    <row r="435">
      <c r="J435" s="36"/>
      <c r="K435" s="36"/>
    </row>
    <row r="436">
      <c r="J436" s="36"/>
      <c r="K436" s="36"/>
    </row>
    <row r="437">
      <c r="J437" s="36"/>
      <c r="K437" s="36"/>
    </row>
    <row r="438">
      <c r="J438" s="36"/>
      <c r="K438" s="36"/>
    </row>
    <row r="439">
      <c r="J439" s="36"/>
      <c r="K439" s="36"/>
    </row>
    <row r="440">
      <c r="J440" s="36"/>
      <c r="K440" s="36"/>
    </row>
    <row r="441">
      <c r="J441" s="36"/>
      <c r="K441" s="36"/>
    </row>
    <row r="442">
      <c r="J442" s="36"/>
      <c r="K442" s="36"/>
    </row>
    <row r="443">
      <c r="J443" s="36"/>
      <c r="K443" s="36"/>
    </row>
    <row r="444">
      <c r="J444" s="36"/>
      <c r="K444" s="36"/>
    </row>
    <row r="445">
      <c r="J445" s="36"/>
      <c r="K445" s="36"/>
    </row>
    <row r="446">
      <c r="J446" s="36"/>
      <c r="K446" s="36"/>
    </row>
    <row r="447">
      <c r="J447" s="36"/>
      <c r="K447" s="36"/>
    </row>
    <row r="448">
      <c r="J448" s="36"/>
      <c r="K448" s="36"/>
    </row>
    <row r="449">
      <c r="J449" s="36"/>
      <c r="K449" s="36"/>
    </row>
    <row r="450">
      <c r="J450" s="36"/>
      <c r="K450" s="36"/>
    </row>
    <row r="451">
      <c r="J451" s="36"/>
      <c r="K451" s="36"/>
    </row>
    <row r="452">
      <c r="J452" s="36"/>
      <c r="K452" s="36"/>
    </row>
    <row r="453">
      <c r="J453" s="36"/>
      <c r="K453" s="36"/>
    </row>
    <row r="454">
      <c r="J454" s="36"/>
      <c r="K454" s="36"/>
    </row>
    <row r="455">
      <c r="J455" s="36"/>
      <c r="K455" s="36"/>
    </row>
    <row r="456">
      <c r="J456" s="36"/>
      <c r="K456" s="36"/>
    </row>
    <row r="457">
      <c r="J457" s="36"/>
      <c r="K457" s="36"/>
    </row>
    <row r="458">
      <c r="J458" s="36"/>
      <c r="K458" s="36"/>
    </row>
    <row r="459">
      <c r="J459" s="36"/>
      <c r="K459" s="36"/>
    </row>
    <row r="460">
      <c r="J460" s="36"/>
      <c r="K460" s="36"/>
    </row>
    <row r="461">
      <c r="J461" s="36"/>
      <c r="K461" s="36"/>
    </row>
    <row r="462">
      <c r="J462" s="36"/>
      <c r="K462" s="36"/>
    </row>
    <row r="463">
      <c r="J463" s="36"/>
      <c r="K463" s="36"/>
    </row>
    <row r="464">
      <c r="J464" s="36"/>
      <c r="K464" s="36"/>
    </row>
    <row r="465">
      <c r="J465" s="36"/>
      <c r="K465" s="36"/>
    </row>
    <row r="466">
      <c r="J466" s="36"/>
      <c r="K466" s="36"/>
    </row>
    <row r="467">
      <c r="J467" s="36"/>
      <c r="K467" s="36"/>
    </row>
    <row r="468">
      <c r="J468" s="36"/>
      <c r="K468" s="36"/>
    </row>
    <row r="469">
      <c r="J469" s="36"/>
      <c r="K469" s="36"/>
    </row>
    <row r="470">
      <c r="J470" s="36"/>
      <c r="K470" s="36"/>
    </row>
    <row r="471">
      <c r="J471" s="36"/>
      <c r="K471" s="36"/>
    </row>
    <row r="472">
      <c r="J472" s="36"/>
      <c r="K472" s="36"/>
    </row>
    <row r="473">
      <c r="J473" s="36"/>
      <c r="K473" s="36"/>
    </row>
    <row r="474">
      <c r="J474" s="36"/>
      <c r="K474" s="36"/>
    </row>
    <row r="475">
      <c r="J475" s="36"/>
      <c r="K475" s="36"/>
    </row>
    <row r="476">
      <c r="J476" s="36"/>
      <c r="K476" s="36"/>
    </row>
    <row r="477">
      <c r="J477" s="36"/>
      <c r="K477" s="36"/>
    </row>
    <row r="478">
      <c r="J478" s="36"/>
      <c r="K478" s="36"/>
    </row>
    <row r="479">
      <c r="J479" s="36"/>
      <c r="K479" s="36"/>
    </row>
    <row r="480">
      <c r="J480" s="36"/>
      <c r="K480" s="36"/>
    </row>
    <row r="481">
      <c r="J481" s="36"/>
      <c r="K481" s="36"/>
    </row>
    <row r="482">
      <c r="J482" s="36"/>
      <c r="K482" s="36"/>
    </row>
    <row r="483">
      <c r="J483" s="36"/>
      <c r="K483" s="36"/>
    </row>
    <row r="484">
      <c r="J484" s="36"/>
      <c r="K484" s="36"/>
    </row>
    <row r="485">
      <c r="J485" s="36"/>
      <c r="K485" s="36"/>
    </row>
    <row r="486">
      <c r="J486" s="36"/>
      <c r="K486" s="36"/>
    </row>
    <row r="487">
      <c r="J487" s="36"/>
      <c r="K487" s="36"/>
    </row>
    <row r="488">
      <c r="J488" s="36"/>
      <c r="K488" s="36"/>
    </row>
    <row r="489">
      <c r="J489" s="36"/>
      <c r="K489" s="36"/>
    </row>
    <row r="490">
      <c r="J490" s="36"/>
      <c r="K490" s="36"/>
    </row>
    <row r="491">
      <c r="J491" s="36"/>
      <c r="K491" s="36"/>
    </row>
    <row r="492">
      <c r="J492" s="36"/>
      <c r="K492" s="36"/>
    </row>
    <row r="493">
      <c r="J493" s="36"/>
      <c r="K493" s="36"/>
    </row>
    <row r="494">
      <c r="J494" s="36"/>
      <c r="K494" s="36"/>
    </row>
    <row r="495">
      <c r="J495" s="36"/>
      <c r="K495" s="36"/>
    </row>
    <row r="496">
      <c r="J496" s="36"/>
      <c r="K496" s="36"/>
    </row>
    <row r="497">
      <c r="J497" s="36"/>
      <c r="K497" s="36"/>
    </row>
    <row r="498">
      <c r="J498" s="36"/>
      <c r="K498" s="36"/>
    </row>
    <row r="499">
      <c r="J499" s="36"/>
      <c r="K499" s="36"/>
    </row>
    <row r="500">
      <c r="J500" s="36"/>
      <c r="K500" s="36"/>
    </row>
    <row r="501">
      <c r="J501" s="36"/>
      <c r="K501" s="36"/>
    </row>
    <row r="502">
      <c r="J502" s="36"/>
      <c r="K502" s="36"/>
    </row>
    <row r="503">
      <c r="J503" s="36"/>
      <c r="K503" s="36"/>
    </row>
    <row r="504">
      <c r="J504" s="36"/>
      <c r="K504" s="36"/>
    </row>
    <row r="505">
      <c r="J505" s="36"/>
      <c r="K505" s="36"/>
    </row>
    <row r="506">
      <c r="J506" s="36"/>
      <c r="K506" s="36"/>
    </row>
    <row r="507">
      <c r="J507" s="36"/>
      <c r="K507" s="36"/>
    </row>
    <row r="508">
      <c r="J508" s="36"/>
      <c r="K508" s="36"/>
    </row>
    <row r="509">
      <c r="J509" s="36"/>
      <c r="K509" s="36"/>
    </row>
    <row r="510">
      <c r="J510" s="36"/>
      <c r="K510" s="36"/>
    </row>
    <row r="511">
      <c r="J511" s="36"/>
      <c r="K511" s="36"/>
    </row>
    <row r="512">
      <c r="J512" s="36"/>
      <c r="K512" s="36"/>
    </row>
    <row r="513">
      <c r="J513" s="36"/>
      <c r="K513" s="36"/>
    </row>
    <row r="514">
      <c r="J514" s="36"/>
      <c r="K514" s="36"/>
    </row>
    <row r="515">
      <c r="J515" s="36"/>
      <c r="K515" s="36"/>
    </row>
    <row r="516">
      <c r="J516" s="36"/>
      <c r="K516" s="36"/>
    </row>
    <row r="517">
      <c r="J517" s="36"/>
      <c r="K517" s="36"/>
    </row>
    <row r="518">
      <c r="J518" s="36"/>
      <c r="K518" s="36"/>
    </row>
    <row r="519">
      <c r="J519" s="36"/>
      <c r="K519" s="36"/>
    </row>
    <row r="520">
      <c r="J520" s="36"/>
      <c r="K520" s="36"/>
    </row>
    <row r="521">
      <c r="J521" s="36"/>
      <c r="K521" s="36"/>
    </row>
    <row r="522">
      <c r="J522" s="36"/>
      <c r="K522" s="36"/>
    </row>
    <row r="523">
      <c r="J523" s="36"/>
      <c r="K523" s="36"/>
    </row>
    <row r="524">
      <c r="J524" s="36"/>
      <c r="K524" s="36"/>
    </row>
    <row r="525">
      <c r="J525" s="36"/>
      <c r="K525" s="36"/>
    </row>
    <row r="526">
      <c r="J526" s="36"/>
      <c r="K526" s="36"/>
    </row>
    <row r="527">
      <c r="J527" s="36"/>
      <c r="K527" s="36"/>
    </row>
    <row r="528">
      <c r="J528" s="36"/>
      <c r="K528" s="36"/>
    </row>
    <row r="529">
      <c r="J529" s="36"/>
      <c r="K529" s="36"/>
    </row>
    <row r="530">
      <c r="J530" s="36"/>
      <c r="K530" s="36"/>
    </row>
    <row r="531">
      <c r="J531" s="36"/>
      <c r="K531" s="36"/>
    </row>
    <row r="532">
      <c r="J532" s="36"/>
      <c r="K532" s="36"/>
    </row>
    <row r="533">
      <c r="J533" s="36"/>
      <c r="K533" s="36"/>
    </row>
    <row r="534">
      <c r="J534" s="36"/>
      <c r="K534" s="36"/>
    </row>
    <row r="535">
      <c r="J535" s="36"/>
      <c r="K535" s="36"/>
    </row>
    <row r="536">
      <c r="J536" s="36"/>
      <c r="K536" s="36"/>
    </row>
    <row r="537">
      <c r="J537" s="36"/>
      <c r="K537" s="36"/>
    </row>
    <row r="538">
      <c r="J538" s="36"/>
      <c r="K538" s="36"/>
    </row>
    <row r="539">
      <c r="J539" s="36"/>
      <c r="K539" s="36"/>
    </row>
    <row r="540">
      <c r="J540" s="36"/>
      <c r="K540" s="36"/>
    </row>
    <row r="541">
      <c r="J541" s="36"/>
      <c r="K541" s="36"/>
    </row>
    <row r="542">
      <c r="J542" s="36"/>
      <c r="K542" s="36"/>
    </row>
    <row r="543">
      <c r="J543" s="36"/>
      <c r="K543" s="36"/>
    </row>
    <row r="544">
      <c r="J544" s="36"/>
      <c r="K544" s="36"/>
    </row>
    <row r="545">
      <c r="J545" s="36"/>
      <c r="K545" s="36"/>
    </row>
    <row r="546">
      <c r="J546" s="36"/>
      <c r="K546" s="36"/>
    </row>
    <row r="547">
      <c r="J547" s="36"/>
      <c r="K547" s="36"/>
    </row>
    <row r="548">
      <c r="J548" s="36"/>
      <c r="K548" s="36"/>
    </row>
    <row r="549">
      <c r="J549" s="36"/>
      <c r="K549" s="36"/>
    </row>
    <row r="550">
      <c r="J550" s="36"/>
      <c r="K550" s="36"/>
    </row>
    <row r="551">
      <c r="J551" s="36"/>
      <c r="K551" s="36"/>
    </row>
    <row r="552">
      <c r="J552" s="36"/>
      <c r="K552" s="36"/>
    </row>
    <row r="553">
      <c r="J553" s="36"/>
      <c r="K553" s="36"/>
    </row>
    <row r="554">
      <c r="J554" s="36"/>
      <c r="K554" s="36"/>
    </row>
    <row r="555">
      <c r="J555" s="36"/>
      <c r="K555" s="36"/>
    </row>
    <row r="556">
      <c r="J556" s="36"/>
      <c r="K556" s="36"/>
    </row>
    <row r="557">
      <c r="J557" s="36"/>
      <c r="K557" s="36"/>
    </row>
    <row r="558">
      <c r="J558" s="36"/>
      <c r="K558" s="36"/>
    </row>
    <row r="559">
      <c r="J559" s="36"/>
      <c r="K559" s="36"/>
    </row>
    <row r="560">
      <c r="J560" s="36"/>
      <c r="K560" s="36"/>
    </row>
    <row r="561">
      <c r="J561" s="36"/>
      <c r="K561" s="36"/>
    </row>
    <row r="562">
      <c r="J562" s="36"/>
      <c r="K562" s="36"/>
    </row>
    <row r="563">
      <c r="J563" s="36"/>
      <c r="K563" s="36"/>
    </row>
    <row r="564">
      <c r="J564" s="36"/>
      <c r="K564" s="36"/>
    </row>
    <row r="565">
      <c r="J565" s="36"/>
      <c r="K565" s="36"/>
    </row>
    <row r="566">
      <c r="J566" s="36"/>
      <c r="K566" s="36"/>
    </row>
    <row r="567">
      <c r="J567" s="36"/>
      <c r="K567" s="36"/>
    </row>
    <row r="568">
      <c r="J568" s="36"/>
      <c r="K568" s="36"/>
    </row>
    <row r="569">
      <c r="J569" s="36"/>
      <c r="K569" s="36"/>
    </row>
    <row r="570">
      <c r="J570" s="36"/>
      <c r="K570" s="36"/>
    </row>
    <row r="571">
      <c r="J571" s="36"/>
      <c r="K571" s="36"/>
    </row>
    <row r="572">
      <c r="J572" s="36"/>
      <c r="K572" s="36"/>
    </row>
    <row r="573">
      <c r="J573" s="36"/>
      <c r="K573" s="36"/>
    </row>
    <row r="574">
      <c r="J574" s="36"/>
      <c r="K574" s="36"/>
    </row>
    <row r="575">
      <c r="J575" s="36"/>
      <c r="K575" s="36"/>
    </row>
    <row r="576">
      <c r="J576" s="36"/>
      <c r="K576" s="36"/>
    </row>
    <row r="577">
      <c r="J577" s="36"/>
      <c r="K577" s="36"/>
    </row>
    <row r="578">
      <c r="J578" s="36"/>
      <c r="K578" s="36"/>
    </row>
    <row r="579">
      <c r="J579" s="36"/>
      <c r="K579" s="36"/>
    </row>
    <row r="580">
      <c r="J580" s="36"/>
      <c r="K580" s="36"/>
    </row>
    <row r="581">
      <c r="J581" s="36"/>
      <c r="K581" s="36"/>
    </row>
    <row r="582">
      <c r="J582" s="36"/>
      <c r="K582" s="36"/>
    </row>
    <row r="583">
      <c r="J583" s="36"/>
      <c r="K583" s="36"/>
    </row>
    <row r="584">
      <c r="J584" s="36"/>
      <c r="K584" s="36"/>
    </row>
    <row r="585">
      <c r="J585" s="36"/>
      <c r="K585" s="36"/>
    </row>
    <row r="586">
      <c r="J586" s="36"/>
      <c r="K586" s="36"/>
    </row>
    <row r="587">
      <c r="J587" s="36"/>
      <c r="K587" s="36"/>
    </row>
    <row r="588">
      <c r="J588" s="36"/>
      <c r="K588" s="36"/>
    </row>
    <row r="589">
      <c r="J589" s="36"/>
      <c r="K589" s="36"/>
    </row>
    <row r="590">
      <c r="J590" s="36"/>
      <c r="K590" s="36"/>
    </row>
    <row r="591">
      <c r="J591" s="36"/>
      <c r="K591" s="36"/>
    </row>
    <row r="592">
      <c r="J592" s="36"/>
      <c r="K592" s="36"/>
    </row>
    <row r="593">
      <c r="J593" s="36"/>
      <c r="K593" s="36"/>
    </row>
    <row r="594">
      <c r="J594" s="36"/>
      <c r="K594" s="36"/>
    </row>
    <row r="595">
      <c r="J595" s="36"/>
      <c r="K595" s="36"/>
    </row>
    <row r="596">
      <c r="J596" s="36"/>
      <c r="K596" s="36"/>
    </row>
    <row r="597">
      <c r="J597" s="36"/>
      <c r="K597" s="36"/>
    </row>
    <row r="598">
      <c r="J598" s="36"/>
      <c r="K598" s="36"/>
    </row>
    <row r="599">
      <c r="J599" s="36"/>
      <c r="K599" s="36"/>
    </row>
    <row r="600">
      <c r="J600" s="36"/>
      <c r="K600" s="36"/>
    </row>
    <row r="601">
      <c r="J601" s="36"/>
      <c r="K601" s="36"/>
    </row>
    <row r="602">
      <c r="J602" s="36"/>
      <c r="K602" s="36"/>
    </row>
    <row r="603">
      <c r="J603" s="36"/>
      <c r="K603" s="36"/>
    </row>
    <row r="604">
      <c r="J604" s="36"/>
      <c r="K604" s="36"/>
    </row>
    <row r="605">
      <c r="J605" s="36"/>
      <c r="K605" s="36"/>
    </row>
    <row r="606">
      <c r="J606" s="36"/>
      <c r="K606" s="36"/>
    </row>
    <row r="607">
      <c r="J607" s="36"/>
      <c r="K607" s="36"/>
    </row>
    <row r="608">
      <c r="J608" s="36"/>
      <c r="K608" s="36"/>
    </row>
    <row r="609">
      <c r="J609" s="36"/>
      <c r="K609" s="36"/>
    </row>
    <row r="610">
      <c r="J610" s="36"/>
      <c r="K610" s="36"/>
    </row>
    <row r="611">
      <c r="J611" s="36"/>
      <c r="K611" s="36"/>
    </row>
    <row r="612">
      <c r="J612" s="36"/>
      <c r="K612" s="36"/>
    </row>
    <row r="613">
      <c r="J613" s="36"/>
      <c r="K613" s="36"/>
    </row>
    <row r="614">
      <c r="J614" s="36"/>
      <c r="K614" s="36"/>
    </row>
    <row r="615">
      <c r="J615" s="36"/>
      <c r="K615" s="36"/>
    </row>
    <row r="616">
      <c r="J616" s="36"/>
      <c r="K616" s="36"/>
    </row>
    <row r="617">
      <c r="J617" s="36"/>
      <c r="K617" s="36"/>
    </row>
    <row r="618">
      <c r="J618" s="36"/>
      <c r="K618" s="36"/>
    </row>
    <row r="619">
      <c r="J619" s="36"/>
      <c r="K619" s="36"/>
    </row>
    <row r="620">
      <c r="J620" s="36"/>
      <c r="K620" s="36"/>
    </row>
    <row r="621">
      <c r="J621" s="36"/>
      <c r="K621" s="36"/>
    </row>
    <row r="622">
      <c r="J622" s="36"/>
      <c r="K622" s="36"/>
    </row>
    <row r="623">
      <c r="J623" s="36"/>
      <c r="K623" s="36"/>
    </row>
    <row r="624">
      <c r="J624" s="36"/>
      <c r="K624" s="36"/>
    </row>
    <row r="625">
      <c r="J625" s="36"/>
      <c r="K625" s="36"/>
    </row>
    <row r="626">
      <c r="J626" s="36"/>
      <c r="K626" s="36"/>
    </row>
    <row r="627">
      <c r="J627" s="36"/>
      <c r="K627" s="36"/>
    </row>
    <row r="628">
      <c r="J628" s="36"/>
      <c r="K628" s="36"/>
    </row>
    <row r="629">
      <c r="J629" s="36"/>
      <c r="K629" s="36"/>
    </row>
    <row r="630">
      <c r="J630" s="36"/>
      <c r="K630" s="36"/>
    </row>
    <row r="631">
      <c r="J631" s="36"/>
      <c r="K631" s="36"/>
    </row>
    <row r="632">
      <c r="J632" s="36"/>
      <c r="K632" s="36"/>
    </row>
    <row r="633">
      <c r="J633" s="36"/>
      <c r="K633" s="36"/>
    </row>
    <row r="634">
      <c r="J634" s="36"/>
      <c r="K634" s="36"/>
    </row>
    <row r="635">
      <c r="J635" s="36"/>
      <c r="K635" s="36"/>
    </row>
    <row r="636">
      <c r="J636" s="36"/>
      <c r="K636" s="36"/>
    </row>
    <row r="637">
      <c r="J637" s="36"/>
      <c r="K637" s="36"/>
    </row>
    <row r="638">
      <c r="J638" s="36"/>
      <c r="K638" s="36"/>
    </row>
    <row r="639">
      <c r="J639" s="36"/>
      <c r="K639" s="36"/>
    </row>
    <row r="640">
      <c r="J640" s="36"/>
      <c r="K640" s="36"/>
    </row>
    <row r="641">
      <c r="J641" s="36"/>
      <c r="K641" s="36"/>
    </row>
    <row r="642">
      <c r="J642" s="36"/>
      <c r="K642" s="36"/>
    </row>
    <row r="643">
      <c r="J643" s="36"/>
      <c r="K643" s="36"/>
    </row>
    <row r="644">
      <c r="J644" s="36"/>
      <c r="K644" s="36"/>
    </row>
    <row r="645">
      <c r="J645" s="36"/>
      <c r="K645" s="36"/>
    </row>
    <row r="646">
      <c r="J646" s="36"/>
      <c r="K646" s="36"/>
    </row>
    <row r="647">
      <c r="J647" s="36"/>
      <c r="K647" s="36"/>
    </row>
    <row r="648">
      <c r="J648" s="36"/>
      <c r="K648" s="36"/>
    </row>
    <row r="649">
      <c r="J649" s="36"/>
      <c r="K649" s="36"/>
    </row>
    <row r="650">
      <c r="J650" s="36"/>
      <c r="K650" s="36"/>
    </row>
    <row r="651">
      <c r="J651" s="36"/>
      <c r="K651" s="36"/>
    </row>
    <row r="652">
      <c r="J652" s="36"/>
      <c r="K652" s="36"/>
    </row>
    <row r="653">
      <c r="J653" s="36"/>
      <c r="K653" s="36"/>
    </row>
    <row r="654">
      <c r="J654" s="36"/>
      <c r="K654" s="36"/>
    </row>
    <row r="655">
      <c r="J655" s="36"/>
      <c r="K655" s="36"/>
    </row>
    <row r="656">
      <c r="J656" s="36"/>
      <c r="K656" s="36"/>
    </row>
    <row r="657">
      <c r="J657" s="36"/>
      <c r="K657" s="36"/>
    </row>
    <row r="658">
      <c r="J658" s="36"/>
      <c r="K658" s="36"/>
    </row>
    <row r="659">
      <c r="J659" s="36"/>
      <c r="K659" s="36"/>
    </row>
    <row r="660">
      <c r="J660" s="36"/>
      <c r="K660" s="36"/>
    </row>
    <row r="661">
      <c r="J661" s="36"/>
      <c r="K661" s="36"/>
    </row>
    <row r="662">
      <c r="J662" s="36"/>
      <c r="K662" s="36"/>
    </row>
    <row r="663">
      <c r="J663" s="36"/>
      <c r="K663" s="36"/>
    </row>
    <row r="664">
      <c r="J664" s="36"/>
      <c r="K664" s="36"/>
    </row>
    <row r="665">
      <c r="J665" s="36"/>
      <c r="K665" s="36"/>
    </row>
    <row r="666">
      <c r="J666" s="36"/>
      <c r="K666" s="36"/>
    </row>
    <row r="667">
      <c r="J667" s="36"/>
      <c r="K667" s="36"/>
    </row>
    <row r="668">
      <c r="J668" s="36"/>
      <c r="K668" s="36"/>
    </row>
    <row r="669">
      <c r="J669" s="36"/>
      <c r="K669" s="36"/>
    </row>
    <row r="670">
      <c r="J670" s="36"/>
      <c r="K670" s="36"/>
    </row>
    <row r="671">
      <c r="J671" s="36"/>
      <c r="K671" s="36"/>
    </row>
    <row r="672">
      <c r="J672" s="36"/>
      <c r="K672" s="36"/>
    </row>
    <row r="673">
      <c r="J673" s="36"/>
      <c r="K673" s="36"/>
    </row>
    <row r="674">
      <c r="J674" s="36"/>
      <c r="K674" s="36"/>
    </row>
    <row r="675">
      <c r="J675" s="36"/>
      <c r="K675" s="36"/>
    </row>
    <row r="676">
      <c r="J676" s="36"/>
      <c r="K676" s="36"/>
    </row>
    <row r="677">
      <c r="J677" s="36"/>
      <c r="K677" s="36"/>
    </row>
    <row r="678">
      <c r="J678" s="36"/>
      <c r="K678" s="36"/>
    </row>
    <row r="679">
      <c r="J679" s="36"/>
      <c r="K679" s="36"/>
    </row>
    <row r="680">
      <c r="J680" s="36"/>
      <c r="K680" s="36"/>
    </row>
    <row r="681">
      <c r="J681" s="36"/>
      <c r="K681" s="36"/>
    </row>
    <row r="682">
      <c r="J682" s="36"/>
      <c r="K682" s="36"/>
    </row>
    <row r="683">
      <c r="J683" s="36"/>
      <c r="K683" s="36"/>
    </row>
    <row r="684">
      <c r="J684" s="36"/>
      <c r="K684" s="36"/>
    </row>
    <row r="685">
      <c r="J685" s="36"/>
      <c r="K685" s="36"/>
    </row>
    <row r="686">
      <c r="J686" s="36"/>
      <c r="K686" s="36"/>
    </row>
    <row r="687">
      <c r="J687" s="36"/>
      <c r="K687" s="36"/>
    </row>
    <row r="688">
      <c r="J688" s="36"/>
      <c r="K688" s="36"/>
    </row>
    <row r="689">
      <c r="J689" s="36"/>
      <c r="K689" s="36"/>
    </row>
    <row r="690">
      <c r="J690" s="36"/>
      <c r="K690" s="36"/>
    </row>
    <row r="691">
      <c r="J691" s="36"/>
      <c r="K691" s="36"/>
    </row>
    <row r="692">
      <c r="J692" s="36"/>
      <c r="K692" s="36"/>
    </row>
    <row r="693">
      <c r="J693" s="36"/>
      <c r="K693" s="36"/>
    </row>
    <row r="694">
      <c r="J694" s="36"/>
      <c r="K694" s="36"/>
    </row>
    <row r="695">
      <c r="J695" s="36"/>
      <c r="K695" s="36"/>
    </row>
    <row r="696">
      <c r="J696" s="36"/>
      <c r="K696" s="36"/>
    </row>
    <row r="697">
      <c r="J697" s="36"/>
      <c r="K697" s="36"/>
    </row>
    <row r="698">
      <c r="J698" s="36"/>
      <c r="K698" s="36"/>
    </row>
    <row r="699">
      <c r="J699" s="36"/>
      <c r="K699" s="36"/>
    </row>
    <row r="700">
      <c r="J700" s="36"/>
      <c r="K700" s="36"/>
    </row>
    <row r="701">
      <c r="J701" s="36"/>
      <c r="K701" s="36"/>
    </row>
    <row r="702">
      <c r="J702" s="36"/>
      <c r="K702" s="36"/>
    </row>
    <row r="703">
      <c r="J703" s="36"/>
      <c r="K703" s="36"/>
    </row>
    <row r="704">
      <c r="J704" s="36"/>
      <c r="K704" s="36"/>
    </row>
    <row r="705">
      <c r="J705" s="36"/>
      <c r="K705" s="36"/>
    </row>
    <row r="706">
      <c r="J706" s="36"/>
      <c r="K706" s="36"/>
    </row>
    <row r="707">
      <c r="J707" s="36"/>
      <c r="K707" s="36"/>
    </row>
    <row r="708">
      <c r="J708" s="36"/>
      <c r="K708" s="36"/>
    </row>
    <row r="709">
      <c r="J709" s="36"/>
      <c r="K709" s="36"/>
    </row>
    <row r="710">
      <c r="J710" s="36"/>
      <c r="K710" s="36"/>
    </row>
    <row r="711">
      <c r="J711" s="36"/>
      <c r="K711" s="36"/>
    </row>
    <row r="712">
      <c r="J712" s="36"/>
      <c r="K712" s="36"/>
    </row>
    <row r="713">
      <c r="J713" s="36"/>
      <c r="K713" s="36"/>
    </row>
    <row r="714">
      <c r="J714" s="36"/>
      <c r="K714" s="36"/>
    </row>
    <row r="715">
      <c r="J715" s="36"/>
      <c r="K715" s="36"/>
    </row>
    <row r="716">
      <c r="J716" s="36"/>
      <c r="K716" s="36"/>
    </row>
    <row r="717">
      <c r="J717" s="36"/>
      <c r="K717" s="36"/>
    </row>
    <row r="718">
      <c r="J718" s="36"/>
      <c r="K718" s="36"/>
    </row>
    <row r="719">
      <c r="J719" s="36"/>
      <c r="K719" s="36"/>
    </row>
    <row r="720">
      <c r="J720" s="36"/>
      <c r="K720" s="36"/>
    </row>
    <row r="721">
      <c r="J721" s="36"/>
      <c r="K721" s="36"/>
    </row>
    <row r="722">
      <c r="J722" s="36"/>
      <c r="K722" s="36"/>
    </row>
    <row r="723">
      <c r="J723" s="36"/>
      <c r="K723" s="36"/>
    </row>
    <row r="724">
      <c r="J724" s="36"/>
      <c r="K724" s="36"/>
    </row>
    <row r="725">
      <c r="J725" s="36"/>
      <c r="K725" s="36"/>
    </row>
    <row r="726">
      <c r="J726" s="36"/>
      <c r="K726" s="36"/>
    </row>
    <row r="727">
      <c r="J727" s="36"/>
      <c r="K727" s="36"/>
    </row>
    <row r="728">
      <c r="J728" s="36"/>
      <c r="K728" s="36"/>
    </row>
    <row r="729">
      <c r="J729" s="36"/>
      <c r="K729" s="36"/>
    </row>
    <row r="730">
      <c r="J730" s="36"/>
      <c r="K730" s="36"/>
    </row>
    <row r="731">
      <c r="J731" s="36"/>
      <c r="K731" s="36"/>
    </row>
    <row r="732">
      <c r="J732" s="36"/>
      <c r="K732" s="36"/>
    </row>
    <row r="733">
      <c r="J733" s="36"/>
      <c r="K733" s="36"/>
    </row>
    <row r="734">
      <c r="J734" s="36"/>
      <c r="K734" s="36"/>
    </row>
    <row r="735">
      <c r="J735" s="36"/>
      <c r="K735" s="36"/>
    </row>
    <row r="736">
      <c r="J736" s="36"/>
      <c r="K736" s="36"/>
    </row>
    <row r="737">
      <c r="J737" s="36"/>
      <c r="K737" s="36"/>
    </row>
    <row r="738">
      <c r="J738" s="36"/>
      <c r="K738" s="36"/>
    </row>
    <row r="739">
      <c r="J739" s="36"/>
      <c r="K739" s="36"/>
    </row>
    <row r="740">
      <c r="J740" s="36"/>
      <c r="K740" s="36"/>
    </row>
    <row r="741">
      <c r="J741" s="36"/>
      <c r="K741" s="36"/>
    </row>
    <row r="742">
      <c r="J742" s="36"/>
      <c r="K742" s="36"/>
    </row>
    <row r="743">
      <c r="J743" s="36"/>
      <c r="K743" s="36"/>
    </row>
    <row r="744">
      <c r="J744" s="36"/>
      <c r="K744" s="36"/>
    </row>
    <row r="745">
      <c r="J745" s="36"/>
      <c r="K745" s="36"/>
    </row>
    <row r="746">
      <c r="J746" s="36"/>
      <c r="K746" s="36"/>
    </row>
    <row r="747">
      <c r="J747" s="36"/>
      <c r="K747" s="36"/>
    </row>
    <row r="748">
      <c r="J748" s="36"/>
      <c r="K748" s="36"/>
    </row>
    <row r="749">
      <c r="J749" s="36"/>
      <c r="K749" s="36"/>
    </row>
    <row r="750">
      <c r="J750" s="36"/>
      <c r="K750" s="36"/>
    </row>
    <row r="751">
      <c r="J751" s="36"/>
      <c r="K751" s="36"/>
    </row>
    <row r="752">
      <c r="J752" s="36"/>
      <c r="K752" s="36"/>
    </row>
    <row r="753">
      <c r="J753" s="36"/>
      <c r="K753" s="36"/>
    </row>
    <row r="754">
      <c r="J754" s="36"/>
      <c r="K754" s="36"/>
    </row>
    <row r="755">
      <c r="J755" s="36"/>
      <c r="K755" s="36"/>
    </row>
    <row r="756">
      <c r="J756" s="36"/>
      <c r="K756" s="36"/>
    </row>
    <row r="757">
      <c r="J757" s="36"/>
      <c r="K757" s="36"/>
    </row>
    <row r="758">
      <c r="J758" s="36"/>
      <c r="K758" s="36"/>
    </row>
    <row r="759">
      <c r="J759" s="36"/>
      <c r="K759" s="36"/>
    </row>
    <row r="760">
      <c r="J760" s="36"/>
      <c r="K760" s="36"/>
    </row>
    <row r="761">
      <c r="J761" s="36"/>
      <c r="K761" s="36"/>
    </row>
    <row r="762">
      <c r="J762" s="36"/>
      <c r="K762" s="36"/>
    </row>
    <row r="763">
      <c r="J763" s="36"/>
      <c r="K763" s="36"/>
    </row>
    <row r="764">
      <c r="J764" s="36"/>
      <c r="K764" s="36"/>
    </row>
    <row r="765">
      <c r="J765" s="36"/>
      <c r="K765" s="36"/>
    </row>
    <row r="766">
      <c r="J766" s="36"/>
      <c r="K766" s="36"/>
    </row>
    <row r="767">
      <c r="J767" s="36"/>
      <c r="K767" s="36"/>
    </row>
    <row r="768">
      <c r="J768" s="36"/>
      <c r="K768" s="36"/>
    </row>
    <row r="769">
      <c r="J769" s="36"/>
      <c r="K769" s="36"/>
    </row>
    <row r="770">
      <c r="J770" s="36"/>
      <c r="K770" s="36"/>
    </row>
    <row r="771">
      <c r="J771" s="36"/>
      <c r="K771" s="36"/>
    </row>
    <row r="772">
      <c r="J772" s="36"/>
      <c r="K772" s="36"/>
    </row>
    <row r="773">
      <c r="J773" s="36"/>
      <c r="K773" s="36"/>
    </row>
    <row r="774">
      <c r="J774" s="36"/>
      <c r="K774" s="36"/>
    </row>
    <row r="775">
      <c r="J775" s="36"/>
      <c r="K775" s="36"/>
    </row>
    <row r="776">
      <c r="J776" s="36"/>
      <c r="K776" s="36"/>
    </row>
    <row r="777">
      <c r="J777" s="36"/>
      <c r="K777" s="36"/>
    </row>
    <row r="778">
      <c r="J778" s="36"/>
      <c r="K778" s="36"/>
    </row>
    <row r="779">
      <c r="J779" s="36"/>
      <c r="K779" s="36"/>
    </row>
    <row r="780">
      <c r="J780" s="36"/>
      <c r="K780" s="36"/>
    </row>
    <row r="781">
      <c r="J781" s="36"/>
      <c r="K781" s="36"/>
    </row>
    <row r="782">
      <c r="J782" s="36"/>
      <c r="K782" s="36"/>
    </row>
    <row r="783">
      <c r="J783" s="36"/>
      <c r="K783" s="36"/>
    </row>
    <row r="784">
      <c r="J784" s="36"/>
      <c r="K784" s="36"/>
    </row>
    <row r="785">
      <c r="J785" s="36"/>
      <c r="K785" s="36"/>
    </row>
    <row r="786">
      <c r="J786" s="36"/>
      <c r="K786" s="36"/>
    </row>
    <row r="787">
      <c r="J787" s="36"/>
      <c r="K787" s="36"/>
    </row>
    <row r="788">
      <c r="J788" s="36"/>
      <c r="K788" s="36"/>
    </row>
    <row r="789">
      <c r="J789" s="36"/>
      <c r="K789" s="36"/>
    </row>
    <row r="790">
      <c r="J790" s="36"/>
      <c r="K790" s="36"/>
    </row>
    <row r="791">
      <c r="J791" s="36"/>
      <c r="K791" s="36"/>
    </row>
    <row r="792">
      <c r="J792" s="36"/>
      <c r="K792" s="36"/>
    </row>
    <row r="793">
      <c r="J793" s="36"/>
      <c r="K793" s="36"/>
    </row>
    <row r="794">
      <c r="J794" s="36"/>
      <c r="K794" s="36"/>
    </row>
    <row r="795">
      <c r="J795" s="36"/>
      <c r="K795" s="36"/>
    </row>
    <row r="796">
      <c r="J796" s="36"/>
      <c r="K796" s="36"/>
    </row>
    <row r="797">
      <c r="J797" s="36"/>
      <c r="K797" s="36"/>
    </row>
    <row r="798">
      <c r="J798" s="36"/>
      <c r="K798" s="36"/>
    </row>
    <row r="799">
      <c r="J799" s="36"/>
      <c r="K799" s="36"/>
    </row>
    <row r="800">
      <c r="J800" s="36"/>
      <c r="K800" s="36"/>
    </row>
    <row r="801">
      <c r="J801" s="36"/>
      <c r="K801" s="36"/>
    </row>
    <row r="802">
      <c r="J802" s="36"/>
      <c r="K802" s="36"/>
    </row>
    <row r="803">
      <c r="J803" s="36"/>
      <c r="K803" s="36"/>
    </row>
    <row r="804">
      <c r="J804" s="36"/>
      <c r="K804" s="36"/>
    </row>
    <row r="805">
      <c r="J805" s="36"/>
      <c r="K805" s="36"/>
    </row>
    <row r="806">
      <c r="J806" s="36"/>
      <c r="K806" s="36"/>
    </row>
    <row r="807">
      <c r="J807" s="36"/>
      <c r="K807" s="36"/>
    </row>
    <row r="808">
      <c r="J808" s="36"/>
      <c r="K808" s="36"/>
    </row>
    <row r="809">
      <c r="J809" s="36"/>
      <c r="K809" s="36"/>
    </row>
    <row r="810">
      <c r="J810" s="36"/>
      <c r="K810" s="36"/>
    </row>
    <row r="811">
      <c r="J811" s="36"/>
      <c r="K811" s="36"/>
    </row>
    <row r="812">
      <c r="J812" s="36"/>
      <c r="K812" s="36"/>
    </row>
    <row r="813">
      <c r="J813" s="36"/>
      <c r="K813" s="36"/>
    </row>
    <row r="814">
      <c r="J814" s="36"/>
      <c r="K814" s="36"/>
    </row>
    <row r="815">
      <c r="J815" s="36"/>
      <c r="K815" s="36"/>
    </row>
    <row r="816">
      <c r="J816" s="36"/>
      <c r="K816" s="36"/>
    </row>
    <row r="817">
      <c r="J817" s="36"/>
      <c r="K817" s="36"/>
    </row>
    <row r="818">
      <c r="J818" s="36"/>
      <c r="K818" s="36"/>
    </row>
    <row r="819">
      <c r="J819" s="36"/>
      <c r="K819" s="36"/>
    </row>
    <row r="820">
      <c r="J820" s="36"/>
      <c r="K820" s="36"/>
    </row>
    <row r="821">
      <c r="J821" s="36"/>
      <c r="K821" s="36"/>
    </row>
    <row r="822">
      <c r="J822" s="36"/>
      <c r="K822" s="36"/>
    </row>
    <row r="823">
      <c r="J823" s="36"/>
      <c r="K823" s="36"/>
    </row>
    <row r="824">
      <c r="J824" s="36"/>
      <c r="K824" s="36"/>
    </row>
    <row r="825">
      <c r="J825" s="36"/>
      <c r="K825" s="36"/>
    </row>
    <row r="826">
      <c r="J826" s="36"/>
      <c r="K826" s="36"/>
    </row>
    <row r="827">
      <c r="J827" s="36"/>
      <c r="K827" s="36"/>
    </row>
    <row r="828">
      <c r="J828" s="36"/>
      <c r="K828" s="36"/>
    </row>
    <row r="829">
      <c r="J829" s="36"/>
      <c r="K829" s="36"/>
    </row>
    <row r="830">
      <c r="J830" s="36"/>
      <c r="K830" s="36"/>
    </row>
    <row r="831">
      <c r="J831" s="36"/>
      <c r="K831" s="36"/>
    </row>
    <row r="832">
      <c r="J832" s="36"/>
      <c r="K832" s="36"/>
    </row>
    <row r="833">
      <c r="J833" s="36"/>
      <c r="K833" s="36"/>
    </row>
    <row r="834">
      <c r="J834" s="36"/>
      <c r="K834" s="36"/>
    </row>
    <row r="835">
      <c r="J835" s="36"/>
      <c r="K835" s="36"/>
    </row>
    <row r="836">
      <c r="J836" s="36"/>
      <c r="K836" s="36"/>
    </row>
    <row r="837">
      <c r="J837" s="36"/>
      <c r="K837" s="36"/>
    </row>
    <row r="838">
      <c r="J838" s="36"/>
      <c r="K838" s="36"/>
    </row>
    <row r="839">
      <c r="J839" s="36"/>
      <c r="K839" s="36"/>
    </row>
    <row r="840">
      <c r="J840" s="36"/>
      <c r="K840" s="36"/>
    </row>
    <row r="841">
      <c r="J841" s="36"/>
      <c r="K841" s="36"/>
    </row>
    <row r="842">
      <c r="J842" s="36"/>
      <c r="K842" s="36"/>
    </row>
    <row r="843">
      <c r="J843" s="36"/>
      <c r="K843" s="36"/>
    </row>
    <row r="844">
      <c r="J844" s="36"/>
      <c r="K844" s="36"/>
    </row>
    <row r="845">
      <c r="J845" s="36"/>
      <c r="K845" s="36"/>
    </row>
    <row r="846">
      <c r="J846" s="36"/>
      <c r="K846" s="36"/>
    </row>
    <row r="847">
      <c r="J847" s="36"/>
      <c r="K847" s="36"/>
    </row>
    <row r="848">
      <c r="J848" s="36"/>
      <c r="K848" s="36"/>
    </row>
    <row r="849">
      <c r="J849" s="36"/>
      <c r="K849" s="36"/>
    </row>
    <row r="850">
      <c r="J850" s="36"/>
      <c r="K850" s="36"/>
    </row>
    <row r="851">
      <c r="J851" s="36"/>
      <c r="K851" s="36"/>
    </row>
    <row r="852">
      <c r="J852" s="36"/>
      <c r="K852" s="36"/>
    </row>
    <row r="853">
      <c r="J853" s="36"/>
      <c r="K853" s="36"/>
    </row>
    <row r="854">
      <c r="J854" s="36"/>
      <c r="K854" s="36"/>
    </row>
    <row r="855">
      <c r="J855" s="36"/>
      <c r="K855" s="36"/>
    </row>
    <row r="856">
      <c r="J856" s="36"/>
      <c r="K856" s="36"/>
    </row>
    <row r="857">
      <c r="J857" s="36"/>
      <c r="K857" s="36"/>
    </row>
    <row r="858">
      <c r="J858" s="36"/>
      <c r="K858" s="36"/>
    </row>
    <row r="859">
      <c r="J859" s="36"/>
      <c r="K859" s="36"/>
    </row>
    <row r="860">
      <c r="J860" s="36"/>
      <c r="K860" s="36"/>
    </row>
    <row r="861">
      <c r="J861" s="36"/>
      <c r="K861" s="36"/>
    </row>
    <row r="862">
      <c r="J862" s="36"/>
      <c r="K862" s="36"/>
    </row>
    <row r="863">
      <c r="J863" s="36"/>
      <c r="K863" s="36"/>
    </row>
    <row r="864">
      <c r="J864" s="36"/>
      <c r="K864" s="36"/>
    </row>
    <row r="865">
      <c r="J865" s="36"/>
      <c r="K865" s="36"/>
    </row>
    <row r="866">
      <c r="J866" s="36"/>
      <c r="K866" s="36"/>
    </row>
    <row r="867">
      <c r="J867" s="36"/>
      <c r="K867" s="36"/>
    </row>
    <row r="868">
      <c r="J868" s="36"/>
      <c r="K868" s="36"/>
    </row>
    <row r="869">
      <c r="J869" s="36"/>
      <c r="K869" s="36"/>
    </row>
    <row r="870">
      <c r="J870" s="36"/>
      <c r="K870" s="36"/>
    </row>
    <row r="871">
      <c r="J871" s="36"/>
      <c r="K871" s="36"/>
    </row>
    <row r="872">
      <c r="J872" s="36"/>
      <c r="K872" s="36"/>
    </row>
    <row r="873">
      <c r="J873" s="36"/>
      <c r="K873" s="36"/>
    </row>
    <row r="874">
      <c r="J874" s="36"/>
      <c r="K874" s="36"/>
    </row>
    <row r="875">
      <c r="J875" s="36"/>
      <c r="K875" s="36"/>
    </row>
    <row r="876">
      <c r="J876" s="36"/>
      <c r="K876" s="36"/>
    </row>
    <row r="877">
      <c r="J877" s="36"/>
      <c r="K877" s="36"/>
    </row>
    <row r="878">
      <c r="J878" s="36"/>
      <c r="K878" s="36"/>
    </row>
    <row r="879">
      <c r="J879" s="36"/>
      <c r="K879" s="36"/>
    </row>
    <row r="880">
      <c r="J880" s="36"/>
      <c r="K880" s="36"/>
    </row>
    <row r="881">
      <c r="J881" s="36"/>
      <c r="K881" s="36"/>
    </row>
    <row r="882">
      <c r="J882" s="36"/>
      <c r="K882" s="36"/>
    </row>
    <row r="883">
      <c r="J883" s="36"/>
      <c r="K883" s="36"/>
    </row>
    <row r="884">
      <c r="J884" s="36"/>
      <c r="K884" s="36"/>
    </row>
    <row r="885">
      <c r="J885" s="36"/>
      <c r="K885" s="36"/>
    </row>
    <row r="886">
      <c r="J886" s="36"/>
      <c r="K886" s="36"/>
    </row>
    <row r="887">
      <c r="J887" s="36"/>
      <c r="K887" s="36"/>
    </row>
    <row r="888">
      <c r="J888" s="36"/>
      <c r="K888" s="36"/>
    </row>
    <row r="889">
      <c r="J889" s="36"/>
      <c r="K889" s="36"/>
    </row>
    <row r="890">
      <c r="J890" s="36"/>
      <c r="K890" s="36"/>
    </row>
    <row r="891">
      <c r="J891" s="36"/>
      <c r="K891" s="36"/>
    </row>
    <row r="892">
      <c r="J892" s="36"/>
      <c r="K892" s="36"/>
    </row>
    <row r="893">
      <c r="J893" s="36"/>
      <c r="K893" s="36"/>
    </row>
    <row r="894">
      <c r="J894" s="36"/>
      <c r="K894" s="36"/>
    </row>
    <row r="895">
      <c r="J895" s="36"/>
      <c r="K895" s="36"/>
    </row>
    <row r="896">
      <c r="J896" s="36"/>
      <c r="K896" s="36"/>
    </row>
    <row r="897">
      <c r="J897" s="36"/>
      <c r="K897" s="36"/>
    </row>
    <row r="898">
      <c r="J898" s="36"/>
      <c r="K898" s="36"/>
    </row>
    <row r="899">
      <c r="J899" s="36"/>
      <c r="K899" s="36"/>
    </row>
    <row r="900">
      <c r="J900" s="36"/>
      <c r="K900" s="36"/>
    </row>
    <row r="901">
      <c r="J901" s="36"/>
      <c r="K901" s="36"/>
    </row>
    <row r="902">
      <c r="J902" s="36"/>
      <c r="K902" s="36"/>
    </row>
    <row r="903">
      <c r="J903" s="36"/>
      <c r="K903" s="36"/>
    </row>
    <row r="904">
      <c r="J904" s="36"/>
      <c r="K904" s="36"/>
    </row>
    <row r="905">
      <c r="J905" s="36"/>
      <c r="K905" s="36"/>
    </row>
    <row r="906">
      <c r="J906" s="36"/>
      <c r="K906" s="36"/>
    </row>
    <row r="907">
      <c r="J907" s="36"/>
      <c r="K907" s="36"/>
    </row>
    <row r="908">
      <c r="J908" s="36"/>
      <c r="K908" s="36"/>
    </row>
    <row r="909">
      <c r="J909" s="36"/>
      <c r="K909" s="36"/>
    </row>
    <row r="910">
      <c r="J910" s="36"/>
      <c r="K910" s="36"/>
    </row>
    <row r="911">
      <c r="J911" s="36"/>
      <c r="K911" s="36"/>
    </row>
    <row r="912">
      <c r="J912" s="36"/>
      <c r="K912" s="36"/>
    </row>
    <row r="913">
      <c r="J913" s="36"/>
      <c r="K913" s="36"/>
    </row>
    <row r="914">
      <c r="J914" s="36"/>
      <c r="K914" s="36"/>
    </row>
    <row r="915">
      <c r="J915" s="36"/>
      <c r="K915" s="36"/>
    </row>
    <row r="916">
      <c r="J916" s="36"/>
      <c r="K916" s="36"/>
    </row>
    <row r="917">
      <c r="J917" s="36"/>
      <c r="K917" s="36"/>
    </row>
    <row r="918">
      <c r="J918" s="36"/>
      <c r="K918" s="36"/>
    </row>
    <row r="919">
      <c r="J919" s="36"/>
      <c r="K919" s="36"/>
    </row>
    <row r="920">
      <c r="J920" s="36"/>
      <c r="K920" s="36"/>
    </row>
    <row r="921">
      <c r="J921" s="36"/>
      <c r="K921" s="36"/>
    </row>
    <row r="922">
      <c r="J922" s="36"/>
      <c r="K922" s="36"/>
    </row>
    <row r="923">
      <c r="J923" s="36"/>
      <c r="K923" s="36"/>
    </row>
    <row r="924">
      <c r="J924" s="36"/>
      <c r="K924" s="36"/>
    </row>
    <row r="925">
      <c r="J925" s="36"/>
      <c r="K925" s="36"/>
    </row>
    <row r="926">
      <c r="J926" s="36"/>
      <c r="K926" s="36"/>
    </row>
    <row r="927">
      <c r="J927" s="36"/>
      <c r="K927" s="36"/>
    </row>
    <row r="928">
      <c r="J928" s="36"/>
      <c r="K928" s="36"/>
    </row>
    <row r="929">
      <c r="J929" s="36"/>
      <c r="K929" s="36"/>
    </row>
    <row r="930">
      <c r="J930" s="36"/>
      <c r="K930" s="36"/>
    </row>
    <row r="931">
      <c r="J931" s="36"/>
      <c r="K931" s="36"/>
    </row>
    <row r="932">
      <c r="J932" s="36"/>
      <c r="K932" s="36"/>
    </row>
    <row r="933">
      <c r="J933" s="36"/>
      <c r="K933" s="36"/>
    </row>
    <row r="934">
      <c r="J934" s="36"/>
      <c r="K934" s="36"/>
    </row>
    <row r="935">
      <c r="J935" s="36"/>
      <c r="K935" s="36"/>
    </row>
    <row r="936">
      <c r="J936" s="36"/>
      <c r="K936" s="36"/>
    </row>
    <row r="937">
      <c r="J937" s="36"/>
      <c r="K937" s="36"/>
    </row>
    <row r="938">
      <c r="J938" s="36"/>
      <c r="K938" s="36"/>
    </row>
    <row r="939">
      <c r="J939" s="36"/>
      <c r="K939" s="36"/>
    </row>
    <row r="940">
      <c r="J940" s="36"/>
      <c r="K940" s="36"/>
    </row>
    <row r="941">
      <c r="J941" s="36"/>
      <c r="K941" s="36"/>
    </row>
    <row r="942">
      <c r="J942" s="36"/>
      <c r="K942" s="36"/>
    </row>
    <row r="943">
      <c r="J943" s="36"/>
      <c r="K943" s="36"/>
    </row>
    <row r="944">
      <c r="J944" s="36"/>
      <c r="K944" s="36"/>
    </row>
    <row r="945">
      <c r="J945" s="36"/>
      <c r="K945" s="36"/>
    </row>
    <row r="946">
      <c r="J946" s="36"/>
      <c r="K946" s="36"/>
    </row>
    <row r="947">
      <c r="J947" s="36"/>
      <c r="K947" s="36"/>
    </row>
    <row r="948">
      <c r="J948" s="36"/>
      <c r="K948" s="36"/>
    </row>
    <row r="949">
      <c r="J949" s="36"/>
      <c r="K949" s="36"/>
    </row>
    <row r="950">
      <c r="J950" s="36"/>
      <c r="K950" s="36"/>
    </row>
    <row r="951">
      <c r="J951" s="36"/>
      <c r="K951" s="36"/>
    </row>
    <row r="952">
      <c r="J952" s="36"/>
      <c r="K952" s="36"/>
    </row>
    <row r="953">
      <c r="J953" s="36"/>
      <c r="K953" s="36"/>
    </row>
    <row r="954">
      <c r="J954" s="36"/>
      <c r="K954" s="36"/>
    </row>
    <row r="955">
      <c r="J955" s="36"/>
      <c r="K955" s="36"/>
    </row>
    <row r="956">
      <c r="J956" s="36"/>
      <c r="K956" s="36"/>
    </row>
    <row r="957">
      <c r="J957" s="36"/>
      <c r="K957" s="36"/>
    </row>
    <row r="958">
      <c r="J958" s="36"/>
      <c r="K958" s="36"/>
    </row>
    <row r="959">
      <c r="J959" s="36"/>
      <c r="K959" s="36"/>
    </row>
    <row r="960">
      <c r="J960" s="36"/>
      <c r="K960" s="36"/>
    </row>
    <row r="961">
      <c r="J961" s="36"/>
      <c r="K961" s="36"/>
    </row>
    <row r="962">
      <c r="J962" s="36"/>
      <c r="K962" s="36"/>
    </row>
    <row r="963">
      <c r="J963" s="36"/>
      <c r="K963" s="36"/>
    </row>
    <row r="964">
      <c r="J964" s="36"/>
      <c r="K964" s="36"/>
    </row>
    <row r="965">
      <c r="J965" s="36"/>
      <c r="K965" s="36"/>
    </row>
    <row r="966">
      <c r="J966" s="36"/>
      <c r="K966" s="36"/>
    </row>
    <row r="967">
      <c r="J967" s="36"/>
      <c r="K967" s="36"/>
    </row>
    <row r="968">
      <c r="J968" s="36"/>
      <c r="K968" s="36"/>
    </row>
    <row r="969">
      <c r="J969" s="36"/>
      <c r="K969" s="36"/>
    </row>
    <row r="970">
      <c r="J970" s="36"/>
      <c r="K970" s="36"/>
    </row>
    <row r="971">
      <c r="J971" s="36"/>
      <c r="K971" s="36"/>
    </row>
    <row r="972">
      <c r="J972" s="36"/>
      <c r="K972" s="36"/>
    </row>
    <row r="973">
      <c r="J973" s="36"/>
      <c r="K973" s="36"/>
    </row>
    <row r="974">
      <c r="J974" s="36"/>
      <c r="K974" s="36"/>
    </row>
    <row r="975">
      <c r="J975" s="36"/>
      <c r="K975" s="36"/>
    </row>
    <row r="976">
      <c r="J976" s="36"/>
      <c r="K976" s="36"/>
    </row>
    <row r="977">
      <c r="J977" s="36"/>
      <c r="K977" s="36"/>
    </row>
    <row r="978">
      <c r="J978" s="36"/>
      <c r="K978" s="36"/>
    </row>
    <row r="979">
      <c r="J979" s="36"/>
      <c r="K979" s="36"/>
    </row>
    <row r="980">
      <c r="J980" s="36"/>
      <c r="K980" s="36"/>
    </row>
    <row r="981">
      <c r="J981" s="36"/>
      <c r="K981" s="36"/>
    </row>
    <row r="982">
      <c r="J982" s="36"/>
      <c r="K982" s="36"/>
    </row>
    <row r="983">
      <c r="J983" s="36"/>
      <c r="K983" s="36"/>
    </row>
    <row r="984">
      <c r="J984" s="36"/>
      <c r="K984" s="36"/>
    </row>
    <row r="985">
      <c r="J985" s="36"/>
      <c r="K985" s="36"/>
    </row>
    <row r="986">
      <c r="J986" s="36"/>
      <c r="K986" s="36"/>
    </row>
    <row r="987">
      <c r="J987" s="36"/>
      <c r="K987" s="36"/>
    </row>
    <row r="988">
      <c r="J988" s="36"/>
      <c r="K988" s="36"/>
    </row>
    <row r="989">
      <c r="J989" s="36"/>
      <c r="K989" s="36"/>
    </row>
    <row r="990">
      <c r="J990" s="36"/>
      <c r="K990" s="36"/>
    </row>
    <row r="991">
      <c r="J991" s="36"/>
      <c r="K991" s="36"/>
    </row>
    <row r="992">
      <c r="J992" s="36"/>
      <c r="K992" s="36"/>
    </row>
    <row r="993">
      <c r="J993" s="36"/>
      <c r="K993" s="36"/>
    </row>
    <row r="994">
      <c r="J994" s="36"/>
      <c r="K994" s="36"/>
    </row>
    <row r="995">
      <c r="J995" s="36"/>
      <c r="K995" s="36"/>
    </row>
    <row r="996">
      <c r="J996" s="36"/>
      <c r="K996" s="36"/>
    </row>
    <row r="997">
      <c r="J997" s="36"/>
      <c r="K997" s="36"/>
    </row>
    <row r="998">
      <c r="J998" s="36"/>
      <c r="K998" s="36"/>
    </row>
    <row r="999">
      <c r="J999" s="36"/>
      <c r="K999" s="36"/>
    </row>
    <row r="1000">
      <c r="J1000" s="36"/>
      <c r="K1000" s="36"/>
    </row>
    <row r="1001">
      <c r="J1001" s="36"/>
      <c r="K1001" s="36"/>
    </row>
    <row r="1002">
      <c r="J1002" s="36"/>
      <c r="K1002" s="36"/>
    </row>
    <row r="1003">
      <c r="J1003" s="36"/>
      <c r="K1003" s="36"/>
    </row>
    <row r="1004">
      <c r="J1004" s="36"/>
      <c r="K1004" s="36"/>
    </row>
    <row r="1005">
      <c r="J1005" s="36"/>
      <c r="K1005" s="36"/>
    </row>
    <row r="1006">
      <c r="J1006" s="36"/>
      <c r="K1006" s="36"/>
    </row>
    <row r="1007">
      <c r="J1007" s="36"/>
      <c r="K1007" s="36"/>
    </row>
    <row r="1008">
      <c r="J1008" s="36"/>
      <c r="K1008" s="36"/>
    </row>
    <row r="1009">
      <c r="J1009" s="36"/>
      <c r="K1009" s="36"/>
    </row>
    <row r="1010">
      <c r="J1010" s="36"/>
      <c r="K1010" s="36"/>
    </row>
    <row r="1011">
      <c r="J1011" s="36"/>
      <c r="K1011" s="36"/>
    </row>
    <row r="1012">
      <c r="J1012" s="36"/>
      <c r="K1012" s="36"/>
    </row>
    <row r="1013">
      <c r="J1013" s="36"/>
      <c r="K1013" s="36"/>
    </row>
    <row r="1014">
      <c r="J1014" s="36"/>
      <c r="K1014" s="36"/>
    </row>
    <row r="1015">
      <c r="J1015" s="36"/>
      <c r="K1015" s="36"/>
    </row>
    <row r="1016">
      <c r="J1016" s="36"/>
      <c r="K1016" s="36"/>
    </row>
  </sheetData>
  <mergeCells count="9">
    <mergeCell ref="A71:M71"/>
    <mergeCell ref="A80:I80"/>
    <mergeCell ref="A10:M10"/>
    <mergeCell ref="A26:M26"/>
    <mergeCell ref="A35:M35"/>
    <mergeCell ref="A38:M38"/>
    <mergeCell ref="A47:M47"/>
    <mergeCell ref="A51:M51"/>
    <mergeCell ref="A55:M55"/>
  </mergeCells>
  <conditionalFormatting sqref="C1:C70 C72:C79 C81:C1016">
    <cfRule type="expression" dxfId="3" priority="1">
      <formula>AND(ISNUMBER(C1),TRUNC(C1)&gt;TODAY())</formula>
    </cfRule>
  </conditionalFormatting>
  <conditionalFormatting sqref="M79 M92">
    <cfRule type="cellIs" dxfId="4" priority="2" operator="lessThan">
      <formula>0</formula>
    </cfRule>
  </conditionalFormatting>
  <dataValidations>
    <dataValidation type="list" allowBlank="1" showErrorMessage="1" sqref="L2:M4 L9:M9 L12:M23 L27:M34 L36:M36 L39:M46 L48:N48 L49:M49 L54:M54 O79">
      <formula1>"SIM,NÃO"</formula1>
    </dataValidation>
    <dataValidation type="list" allowBlank="1" showErrorMessage="1" sqref="N79">
      <formula1>"PAGO,EM ABERTO"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63"/>
    <col customWidth="1" min="2" max="2" width="19.0"/>
    <col customWidth="1" min="3" max="3" width="8.63"/>
    <col customWidth="1" min="4" max="4" width="16.63"/>
    <col customWidth="1" min="5" max="5" width="9.38"/>
    <col customWidth="1" min="6" max="6" width="34.25"/>
    <col customWidth="1" min="7" max="7" width="12.63"/>
    <col customWidth="1" min="8" max="8" width="14.88"/>
    <col customWidth="1" min="9" max="9" width="10.13"/>
    <col customWidth="1" min="10" max="10" width="8.75"/>
    <col customWidth="1" min="11" max="11" width="10.13"/>
    <col customWidth="1" min="12" max="12" width="15.63"/>
    <col customWidth="1" min="13" max="13" width="21.63"/>
    <col customWidth="1" min="14" max="14" width="13.63"/>
  </cols>
  <sheetData>
    <row r="1">
      <c r="A1" s="29" t="s">
        <v>42</v>
      </c>
      <c r="B1" s="29" t="s">
        <v>259</v>
      </c>
      <c r="C1" s="29" t="s">
        <v>260</v>
      </c>
      <c r="D1" s="29" t="s">
        <v>261</v>
      </c>
      <c r="E1" s="29" t="s">
        <v>81</v>
      </c>
      <c r="F1" s="29" t="s">
        <v>51</v>
      </c>
      <c r="G1" s="44" t="s">
        <v>52</v>
      </c>
      <c r="H1" s="29" t="s">
        <v>15</v>
      </c>
      <c r="I1" s="29" t="s">
        <v>82</v>
      </c>
      <c r="J1" s="29" t="s">
        <v>4</v>
      </c>
      <c r="K1" s="29" t="s">
        <v>10</v>
      </c>
      <c r="L1" s="29" t="s">
        <v>143</v>
      </c>
      <c r="M1" s="31" t="s">
        <v>144</v>
      </c>
    </row>
    <row r="2">
      <c r="A2" s="26">
        <v>45818.0</v>
      </c>
      <c r="B2" s="17" t="s">
        <v>262</v>
      </c>
      <c r="C2" s="17" t="s">
        <v>263</v>
      </c>
      <c r="D2" s="17" t="s">
        <v>264</v>
      </c>
      <c r="E2" s="26">
        <v>45824.0</v>
      </c>
      <c r="F2" s="17" t="s">
        <v>265</v>
      </c>
      <c r="G2" s="111" t="s">
        <v>266</v>
      </c>
      <c r="H2" s="26">
        <v>31721.0</v>
      </c>
      <c r="I2" s="36">
        <f t="shared" ref="I2:I13" si="1">IF(C2&lt;&gt;"-",O$3,O$2)</f>
        <v>481.76</v>
      </c>
      <c r="J2" s="11">
        <v>143.0</v>
      </c>
      <c r="K2" s="36">
        <f t="shared" ref="K2:K13" si="2">I2-J2</f>
        <v>338.76</v>
      </c>
      <c r="N2" s="17" t="s">
        <v>267</v>
      </c>
      <c r="O2" s="11">
        <v>32.12</v>
      </c>
    </row>
    <row r="3">
      <c r="A3" s="26">
        <v>45818.0</v>
      </c>
      <c r="B3" s="17" t="s">
        <v>134</v>
      </c>
      <c r="C3" s="17" t="s">
        <v>134</v>
      </c>
      <c r="D3" s="17" t="s">
        <v>264</v>
      </c>
      <c r="E3" s="26">
        <v>45824.0</v>
      </c>
      <c r="F3" s="17" t="s">
        <v>268</v>
      </c>
      <c r="G3" s="111" t="s">
        <v>269</v>
      </c>
      <c r="H3" s="26">
        <v>28861.0</v>
      </c>
      <c r="I3" s="36">
        <f t="shared" si="1"/>
        <v>32.12</v>
      </c>
      <c r="J3" s="11">
        <v>11.0</v>
      </c>
      <c r="K3" s="36">
        <f t="shared" si="2"/>
        <v>21.12</v>
      </c>
      <c r="N3" s="17" t="s">
        <v>270</v>
      </c>
      <c r="O3" s="11">
        <v>481.76</v>
      </c>
    </row>
    <row r="4">
      <c r="A4" s="26">
        <v>45818.0</v>
      </c>
      <c r="B4" s="17" t="s">
        <v>262</v>
      </c>
      <c r="C4" s="17" t="s">
        <v>263</v>
      </c>
      <c r="D4" s="17" t="s">
        <v>271</v>
      </c>
      <c r="E4" s="26">
        <v>45828.0</v>
      </c>
      <c r="F4" s="17" t="s">
        <v>265</v>
      </c>
      <c r="G4" s="111" t="s">
        <v>266</v>
      </c>
      <c r="H4" s="26">
        <v>31721.0</v>
      </c>
      <c r="I4" s="36">
        <f t="shared" si="1"/>
        <v>481.76</v>
      </c>
      <c r="J4" s="11">
        <v>143.0</v>
      </c>
      <c r="K4" s="36">
        <f t="shared" si="2"/>
        <v>338.76</v>
      </c>
      <c r="N4" s="17"/>
      <c r="O4" s="11"/>
    </row>
    <row r="5">
      <c r="A5" s="26">
        <v>45818.0</v>
      </c>
      <c r="B5" s="17" t="s">
        <v>134</v>
      </c>
      <c r="C5" s="17" t="s">
        <v>134</v>
      </c>
      <c r="D5" s="17" t="s">
        <v>271</v>
      </c>
      <c r="E5" s="26">
        <v>45828.0</v>
      </c>
      <c r="F5" s="17" t="s">
        <v>268</v>
      </c>
      <c r="G5" s="111" t="s">
        <v>269</v>
      </c>
      <c r="H5" s="26">
        <v>28861.0</v>
      </c>
      <c r="I5" s="36">
        <f t="shared" si="1"/>
        <v>32.12</v>
      </c>
      <c r="J5" s="11">
        <v>11.0</v>
      </c>
      <c r="K5" s="36">
        <f t="shared" si="2"/>
        <v>21.12</v>
      </c>
      <c r="N5" s="17"/>
      <c r="O5" s="11"/>
    </row>
    <row r="6">
      <c r="A6" s="26">
        <v>45825.0</v>
      </c>
      <c r="B6" s="17" t="s">
        <v>262</v>
      </c>
      <c r="C6" s="17" t="s">
        <v>263</v>
      </c>
      <c r="D6" s="17" t="s">
        <v>264</v>
      </c>
      <c r="E6" s="17" t="s">
        <v>272</v>
      </c>
      <c r="F6" s="17" t="s">
        <v>273</v>
      </c>
      <c r="G6" s="111" t="s">
        <v>274</v>
      </c>
      <c r="H6" s="112">
        <v>28042.0</v>
      </c>
      <c r="I6" s="36">
        <f t="shared" si="1"/>
        <v>481.76</v>
      </c>
      <c r="J6" s="11">
        <v>143.0</v>
      </c>
      <c r="K6" s="36">
        <f t="shared" si="2"/>
        <v>338.76</v>
      </c>
      <c r="N6" s="17" t="s">
        <v>275</v>
      </c>
      <c r="O6" s="11"/>
    </row>
    <row r="7">
      <c r="A7" s="26">
        <v>45825.0</v>
      </c>
      <c r="B7" s="17" t="s">
        <v>134</v>
      </c>
      <c r="C7" s="17" t="s">
        <v>134</v>
      </c>
      <c r="D7" s="17" t="s">
        <v>264</v>
      </c>
      <c r="E7" s="17" t="s">
        <v>272</v>
      </c>
      <c r="F7" s="17" t="s">
        <v>276</v>
      </c>
      <c r="G7" s="111" t="s">
        <v>277</v>
      </c>
      <c r="H7" s="26">
        <v>31594.0</v>
      </c>
      <c r="I7" s="36">
        <f t="shared" si="1"/>
        <v>32.12</v>
      </c>
      <c r="J7" s="11">
        <v>11.0</v>
      </c>
      <c r="K7" s="36">
        <f t="shared" si="2"/>
        <v>21.12</v>
      </c>
      <c r="N7" s="17" t="s">
        <v>278</v>
      </c>
      <c r="O7" s="113" t="s">
        <v>279</v>
      </c>
    </row>
    <row r="8">
      <c r="A8" s="26">
        <v>45831.0</v>
      </c>
      <c r="B8" s="17" t="s">
        <v>262</v>
      </c>
      <c r="C8" s="17" t="s">
        <v>263</v>
      </c>
      <c r="D8" s="17" t="s">
        <v>264</v>
      </c>
      <c r="E8" s="26">
        <v>45833.0</v>
      </c>
      <c r="F8" s="17" t="s">
        <v>280</v>
      </c>
      <c r="G8" s="111" t="s">
        <v>281</v>
      </c>
      <c r="H8" s="26">
        <v>33666.0</v>
      </c>
      <c r="I8" s="36">
        <f t="shared" si="1"/>
        <v>481.76</v>
      </c>
      <c r="J8" s="11">
        <v>143.0</v>
      </c>
      <c r="K8" s="36">
        <f t="shared" si="2"/>
        <v>338.76</v>
      </c>
      <c r="N8" s="17"/>
      <c r="O8" s="114" t="s">
        <v>282</v>
      </c>
    </row>
    <row r="9">
      <c r="A9" s="26">
        <v>45831.0</v>
      </c>
      <c r="B9" s="17" t="s">
        <v>134</v>
      </c>
      <c r="C9" s="17" t="s">
        <v>134</v>
      </c>
      <c r="D9" s="17" t="s">
        <v>264</v>
      </c>
      <c r="E9" s="26">
        <v>45833.0</v>
      </c>
      <c r="F9" s="17" t="s">
        <v>283</v>
      </c>
      <c r="G9" s="17" t="s">
        <v>284</v>
      </c>
      <c r="H9" s="26">
        <v>32675.0</v>
      </c>
      <c r="I9" s="36">
        <f t="shared" si="1"/>
        <v>32.12</v>
      </c>
      <c r="J9" s="11">
        <v>11.0</v>
      </c>
      <c r="K9" s="36">
        <f t="shared" si="2"/>
        <v>21.12</v>
      </c>
      <c r="N9" s="17"/>
      <c r="O9" s="114" t="s">
        <v>285</v>
      </c>
    </row>
    <row r="10">
      <c r="A10" s="26">
        <v>45831.0</v>
      </c>
      <c r="B10" s="17" t="s">
        <v>134</v>
      </c>
      <c r="C10" s="17" t="s">
        <v>134</v>
      </c>
      <c r="D10" s="17" t="s">
        <v>264</v>
      </c>
      <c r="E10" s="26">
        <v>45833.0</v>
      </c>
      <c r="F10" s="17" t="s">
        <v>286</v>
      </c>
      <c r="G10" s="111" t="s">
        <v>287</v>
      </c>
      <c r="H10" s="26">
        <v>33071.0</v>
      </c>
      <c r="I10" s="36">
        <f t="shared" si="1"/>
        <v>32.12</v>
      </c>
      <c r="J10" s="11">
        <v>11.0</v>
      </c>
      <c r="K10" s="36">
        <f t="shared" si="2"/>
        <v>21.12</v>
      </c>
      <c r="N10" s="17"/>
      <c r="O10" s="11"/>
    </row>
    <row r="11">
      <c r="A11" s="26">
        <v>45831.0</v>
      </c>
      <c r="B11" s="17" t="s">
        <v>262</v>
      </c>
      <c r="C11" s="17" t="s">
        <v>263</v>
      </c>
      <c r="D11" s="17" t="s">
        <v>271</v>
      </c>
      <c r="E11" s="26">
        <v>45835.0</v>
      </c>
      <c r="F11" s="17" t="s">
        <v>280</v>
      </c>
      <c r="G11" s="111" t="s">
        <v>281</v>
      </c>
      <c r="H11" s="26">
        <v>33666.0</v>
      </c>
      <c r="I11" s="36">
        <f t="shared" si="1"/>
        <v>481.76</v>
      </c>
      <c r="J11" s="11">
        <v>143.0</v>
      </c>
      <c r="K11" s="36">
        <f t="shared" si="2"/>
        <v>338.76</v>
      </c>
      <c r="N11" s="17"/>
      <c r="O11" s="11"/>
    </row>
    <row r="12">
      <c r="A12" s="26">
        <v>45831.0</v>
      </c>
      <c r="B12" s="17" t="s">
        <v>134</v>
      </c>
      <c r="C12" s="17" t="s">
        <v>134</v>
      </c>
      <c r="D12" s="17" t="s">
        <v>271</v>
      </c>
      <c r="E12" s="26">
        <v>45835.0</v>
      </c>
      <c r="F12" s="17" t="s">
        <v>283</v>
      </c>
      <c r="G12" s="17" t="s">
        <v>284</v>
      </c>
      <c r="H12" s="26">
        <v>32675.0</v>
      </c>
      <c r="I12" s="36">
        <f t="shared" si="1"/>
        <v>32.12</v>
      </c>
      <c r="J12" s="11">
        <v>11.0</v>
      </c>
      <c r="K12" s="36">
        <f t="shared" si="2"/>
        <v>21.12</v>
      </c>
      <c r="N12" s="17"/>
      <c r="O12" s="11"/>
    </row>
    <row r="13">
      <c r="A13" s="26">
        <v>45831.0</v>
      </c>
      <c r="B13" s="17" t="s">
        <v>134</v>
      </c>
      <c r="C13" s="17" t="s">
        <v>134</v>
      </c>
      <c r="D13" s="17" t="s">
        <v>271</v>
      </c>
      <c r="E13" s="26">
        <v>45835.0</v>
      </c>
      <c r="F13" s="17" t="s">
        <v>286</v>
      </c>
      <c r="G13" s="111" t="s">
        <v>287</v>
      </c>
      <c r="H13" s="26">
        <v>33071.0</v>
      </c>
      <c r="I13" s="36">
        <f t="shared" si="1"/>
        <v>32.12</v>
      </c>
      <c r="J13" s="11">
        <v>11.0</v>
      </c>
      <c r="K13" s="36">
        <f t="shared" si="2"/>
        <v>21.12</v>
      </c>
      <c r="N13" s="17"/>
      <c r="O13" s="11"/>
    </row>
    <row r="14">
      <c r="A14" s="26"/>
      <c r="B14" s="17"/>
      <c r="C14" s="17"/>
      <c r="D14" s="17"/>
      <c r="E14" s="26"/>
      <c r="F14" s="17"/>
      <c r="G14" s="111"/>
      <c r="H14" s="31" t="s">
        <v>79</v>
      </c>
      <c r="I14" s="90">
        <f t="shared" ref="I14:K14" si="3">SUM(I2:I13)</f>
        <v>2633.64</v>
      </c>
      <c r="J14" s="115">
        <f t="shared" si="3"/>
        <v>792</v>
      </c>
      <c r="K14" s="116">
        <f t="shared" si="3"/>
        <v>1841.64</v>
      </c>
      <c r="L14" s="17" t="s">
        <v>176</v>
      </c>
      <c r="M14" s="17" t="s">
        <v>177</v>
      </c>
      <c r="N14" s="17"/>
      <c r="O14" s="11"/>
    </row>
    <row r="15">
      <c r="A15" s="82" t="s">
        <v>159</v>
      </c>
      <c r="B15" s="61"/>
      <c r="C15" s="61"/>
      <c r="D15" s="61"/>
      <c r="E15" s="61"/>
      <c r="F15" s="61"/>
      <c r="G15" s="61"/>
      <c r="H15" s="61"/>
      <c r="I15" s="62"/>
      <c r="J15" s="117"/>
      <c r="K15" s="117"/>
      <c r="L15" s="118"/>
      <c r="N15" s="17"/>
      <c r="O15" s="11"/>
    </row>
    <row r="16">
      <c r="A16" s="26">
        <v>45840.0</v>
      </c>
      <c r="B16" s="17" t="s">
        <v>134</v>
      </c>
      <c r="C16" s="17" t="s">
        <v>134</v>
      </c>
      <c r="D16" s="17" t="s">
        <v>271</v>
      </c>
      <c r="E16" s="26">
        <v>45854.0</v>
      </c>
      <c r="F16" s="17" t="s">
        <v>265</v>
      </c>
      <c r="G16" s="111" t="s">
        <v>266</v>
      </c>
      <c r="H16" s="26">
        <v>31721.0</v>
      </c>
      <c r="I16" s="36">
        <f t="shared" ref="I16:I19" si="4">IF(C16&lt;&gt;"-",O$3,O$2)</f>
        <v>32.12</v>
      </c>
      <c r="J16" s="11">
        <v>11.0</v>
      </c>
      <c r="K16" s="36">
        <f t="shared" ref="K16:K19" si="5">I16-J16</f>
        <v>21.12</v>
      </c>
    </row>
    <row r="17">
      <c r="A17" s="26">
        <v>45854.0</v>
      </c>
      <c r="B17" s="17" t="s">
        <v>288</v>
      </c>
      <c r="C17" s="17" t="s">
        <v>289</v>
      </c>
      <c r="D17" s="17" t="s">
        <v>271</v>
      </c>
      <c r="E17" s="26">
        <v>45854.0</v>
      </c>
      <c r="F17" s="17" t="s">
        <v>265</v>
      </c>
      <c r="G17" s="111" t="s">
        <v>266</v>
      </c>
      <c r="H17" s="26">
        <v>31721.0</v>
      </c>
      <c r="I17" s="36">
        <f t="shared" si="4"/>
        <v>481.76</v>
      </c>
      <c r="J17" s="11">
        <v>143.0</v>
      </c>
      <c r="K17" s="36">
        <f t="shared" si="5"/>
        <v>338.76</v>
      </c>
    </row>
    <row r="18">
      <c r="A18" s="26">
        <v>45854.0</v>
      </c>
      <c r="B18" s="17" t="s">
        <v>288</v>
      </c>
      <c r="C18" s="17" t="s">
        <v>289</v>
      </c>
      <c r="D18" s="17" t="s">
        <v>264</v>
      </c>
      <c r="E18" s="26">
        <v>45865.0</v>
      </c>
      <c r="F18" s="17" t="s">
        <v>265</v>
      </c>
      <c r="G18" s="111" t="s">
        <v>266</v>
      </c>
      <c r="H18" s="26">
        <v>31721.0</v>
      </c>
      <c r="I18" s="36">
        <f t="shared" si="4"/>
        <v>481.76</v>
      </c>
      <c r="J18" s="11">
        <v>143.0</v>
      </c>
      <c r="K18" s="36">
        <f t="shared" si="5"/>
        <v>338.76</v>
      </c>
    </row>
    <row r="19">
      <c r="A19" s="26">
        <v>45840.0</v>
      </c>
      <c r="B19" s="17" t="s">
        <v>134</v>
      </c>
      <c r="C19" s="17" t="s">
        <v>134</v>
      </c>
      <c r="D19" s="17" t="s">
        <v>264</v>
      </c>
      <c r="E19" s="26">
        <v>45857.0</v>
      </c>
      <c r="F19" s="17" t="s">
        <v>265</v>
      </c>
      <c r="G19" s="111" t="s">
        <v>266</v>
      </c>
      <c r="H19" s="26">
        <v>31721.0</v>
      </c>
      <c r="I19" s="36">
        <f t="shared" si="4"/>
        <v>32.12</v>
      </c>
      <c r="J19" s="11">
        <v>11.0</v>
      </c>
      <c r="K19" s="36">
        <f t="shared" si="5"/>
        <v>21.12</v>
      </c>
    </row>
    <row r="20">
      <c r="E20" s="26"/>
    </row>
    <row r="21">
      <c r="H21" s="31" t="s">
        <v>79</v>
      </c>
      <c r="I21" s="90">
        <f t="shared" ref="I21:K21" si="6">SUM(I$16:I20)</f>
        <v>1027.76</v>
      </c>
      <c r="J21" s="115">
        <f t="shared" si="6"/>
        <v>308</v>
      </c>
      <c r="K21" s="116">
        <f t="shared" si="6"/>
        <v>719.76</v>
      </c>
      <c r="L21" s="17" t="s">
        <v>176</v>
      </c>
      <c r="M21" s="17" t="s">
        <v>177</v>
      </c>
    </row>
    <row r="22" ht="19.5" customHeight="1">
      <c r="A22" s="82" t="s">
        <v>165</v>
      </c>
      <c r="B22" s="61"/>
      <c r="C22" s="61"/>
      <c r="D22" s="61"/>
      <c r="E22" s="61"/>
      <c r="F22" s="61"/>
      <c r="G22" s="61"/>
      <c r="H22" s="61"/>
      <c r="I22" s="62"/>
      <c r="J22" s="117"/>
      <c r="K22" s="117"/>
      <c r="L22" s="118"/>
    </row>
    <row r="23">
      <c r="A23" s="26">
        <v>45876.0</v>
      </c>
      <c r="B23" s="17" t="s">
        <v>288</v>
      </c>
      <c r="C23" s="17" t="s">
        <v>289</v>
      </c>
      <c r="D23" s="17" t="s">
        <v>271</v>
      </c>
      <c r="F23" s="17" t="s">
        <v>265</v>
      </c>
      <c r="G23" s="111" t="s">
        <v>266</v>
      </c>
      <c r="H23" s="26">
        <v>31721.0</v>
      </c>
      <c r="I23" s="36">
        <f t="shared" ref="I23:I24" si="7">IF(C23&lt;&gt;"-",O$3,O$2)</f>
        <v>481.76</v>
      </c>
      <c r="J23" s="11">
        <v>143.0</v>
      </c>
      <c r="K23" s="36">
        <f t="shared" ref="K23:K24" si="8">I23-J23</f>
        <v>338.76</v>
      </c>
    </row>
    <row r="24">
      <c r="A24" s="26">
        <v>45876.0</v>
      </c>
      <c r="B24" s="17" t="s">
        <v>288</v>
      </c>
      <c r="C24" s="17" t="s">
        <v>289</v>
      </c>
      <c r="D24" s="17" t="s">
        <v>264</v>
      </c>
      <c r="F24" s="17" t="s">
        <v>265</v>
      </c>
      <c r="G24" s="111" t="s">
        <v>266</v>
      </c>
      <c r="H24" s="26">
        <v>31721.0</v>
      </c>
      <c r="I24" s="36">
        <f t="shared" si="7"/>
        <v>481.76</v>
      </c>
      <c r="J24" s="11">
        <v>143.0</v>
      </c>
      <c r="K24" s="36">
        <f t="shared" si="8"/>
        <v>338.76</v>
      </c>
    </row>
    <row r="25">
      <c r="H25" s="31" t="s">
        <v>79</v>
      </c>
      <c r="I25" s="90">
        <f t="shared" ref="I25:K25" si="9">SUM(I$23:I24)</f>
        <v>963.52</v>
      </c>
      <c r="J25" s="115">
        <f t="shared" si="9"/>
        <v>286</v>
      </c>
      <c r="K25" s="116">
        <f t="shared" si="9"/>
        <v>677.52</v>
      </c>
      <c r="L25" s="17" t="s">
        <v>176</v>
      </c>
      <c r="M25" s="17" t="s">
        <v>177</v>
      </c>
      <c r="N25" s="17" t="s">
        <v>290</v>
      </c>
    </row>
    <row r="26">
      <c r="A26" s="82" t="s">
        <v>170</v>
      </c>
      <c r="B26" s="61"/>
      <c r="C26" s="61"/>
      <c r="D26" s="61"/>
      <c r="E26" s="61"/>
      <c r="F26" s="61"/>
      <c r="G26" s="61"/>
      <c r="H26" s="61"/>
      <c r="I26" s="62"/>
      <c r="J26" s="117"/>
      <c r="K26" s="117"/>
      <c r="L26" s="118"/>
    </row>
    <row r="27">
      <c r="A27" s="26">
        <v>45903.0</v>
      </c>
      <c r="B27" s="17" t="s">
        <v>288</v>
      </c>
      <c r="C27" s="17" t="s">
        <v>289</v>
      </c>
      <c r="D27" s="17" t="s">
        <v>271</v>
      </c>
      <c r="E27" s="26">
        <v>45915.0</v>
      </c>
      <c r="F27" s="17" t="s">
        <v>265</v>
      </c>
      <c r="G27" s="111" t="s">
        <v>266</v>
      </c>
      <c r="H27" s="26">
        <v>31721.0</v>
      </c>
      <c r="I27" s="36">
        <f t="shared" ref="I27:I32" si="10">IF(C27&lt;&gt;"-",O$3,O$2)</f>
        <v>481.76</v>
      </c>
      <c r="J27" s="11">
        <v>143.0</v>
      </c>
      <c r="K27" s="36">
        <f t="shared" ref="K27:K32" si="11">I27-J27</f>
        <v>338.76</v>
      </c>
    </row>
    <row r="28">
      <c r="A28" s="26">
        <v>45903.0</v>
      </c>
      <c r="B28" s="17" t="s">
        <v>288</v>
      </c>
      <c r="C28" s="17" t="s">
        <v>289</v>
      </c>
      <c r="D28" s="17" t="s">
        <v>264</v>
      </c>
      <c r="E28" s="26">
        <v>45918.0</v>
      </c>
      <c r="F28" s="17" t="s">
        <v>265</v>
      </c>
      <c r="G28" s="111" t="s">
        <v>266</v>
      </c>
      <c r="H28" s="26">
        <v>31721.0</v>
      </c>
      <c r="I28" s="36">
        <f t="shared" si="10"/>
        <v>481.76</v>
      </c>
      <c r="J28" s="11">
        <v>143.0</v>
      </c>
      <c r="K28" s="36">
        <f t="shared" si="11"/>
        <v>338.76</v>
      </c>
    </row>
    <row r="29">
      <c r="A29" s="26">
        <v>45903.0</v>
      </c>
      <c r="B29" s="17" t="s">
        <v>262</v>
      </c>
      <c r="C29" s="17" t="s">
        <v>263</v>
      </c>
      <c r="D29" s="17" t="s">
        <v>264</v>
      </c>
      <c r="E29" s="26">
        <v>45922.0</v>
      </c>
      <c r="F29" s="17" t="s">
        <v>265</v>
      </c>
      <c r="G29" s="111" t="s">
        <v>266</v>
      </c>
      <c r="H29" s="26">
        <v>31721.0</v>
      </c>
      <c r="I29" s="36">
        <f t="shared" si="10"/>
        <v>481.76</v>
      </c>
      <c r="J29" s="11">
        <v>143.0</v>
      </c>
      <c r="K29" s="36">
        <f t="shared" si="11"/>
        <v>338.76</v>
      </c>
    </row>
    <row r="30">
      <c r="A30" s="26">
        <v>45903.0</v>
      </c>
      <c r="B30" s="17" t="s">
        <v>262</v>
      </c>
      <c r="C30" s="17" t="s">
        <v>263</v>
      </c>
      <c r="D30" s="17" t="s">
        <v>264</v>
      </c>
      <c r="E30" s="26">
        <v>45926.0</v>
      </c>
      <c r="F30" s="17" t="s">
        <v>265</v>
      </c>
      <c r="G30" s="111" t="s">
        <v>266</v>
      </c>
      <c r="H30" s="26">
        <v>31721.0</v>
      </c>
      <c r="I30" s="36">
        <f t="shared" si="10"/>
        <v>481.76</v>
      </c>
      <c r="J30" s="11">
        <v>143.0</v>
      </c>
      <c r="K30" s="36">
        <f t="shared" si="11"/>
        <v>338.76</v>
      </c>
    </row>
    <row r="31">
      <c r="A31" s="26">
        <v>45903.0</v>
      </c>
      <c r="B31" s="17" t="s">
        <v>134</v>
      </c>
      <c r="C31" s="17" t="s">
        <v>134</v>
      </c>
      <c r="D31" s="17" t="s">
        <v>264</v>
      </c>
      <c r="E31" s="26">
        <v>45922.0</v>
      </c>
      <c r="F31" s="17" t="s">
        <v>291</v>
      </c>
      <c r="G31" s="111" t="s">
        <v>269</v>
      </c>
      <c r="H31" s="26">
        <v>28861.0</v>
      </c>
      <c r="I31" s="36">
        <f t="shared" si="10"/>
        <v>32.12</v>
      </c>
      <c r="J31" s="11">
        <v>11.0</v>
      </c>
      <c r="K31" s="36">
        <f t="shared" si="11"/>
        <v>21.12</v>
      </c>
    </row>
    <row r="32">
      <c r="A32" s="26">
        <v>45903.0</v>
      </c>
      <c r="B32" s="17" t="s">
        <v>134</v>
      </c>
      <c r="C32" s="17" t="s">
        <v>134</v>
      </c>
      <c r="D32" s="17" t="s">
        <v>264</v>
      </c>
      <c r="E32" s="26">
        <v>45926.0</v>
      </c>
      <c r="F32" s="17" t="s">
        <v>291</v>
      </c>
      <c r="G32" s="111" t="s">
        <v>269</v>
      </c>
      <c r="H32" s="26">
        <v>28861.0</v>
      </c>
      <c r="I32" s="36">
        <f t="shared" si="10"/>
        <v>32.12</v>
      </c>
      <c r="J32" s="11">
        <v>11.0</v>
      </c>
      <c r="K32" s="36">
        <f t="shared" si="11"/>
        <v>21.12</v>
      </c>
    </row>
    <row r="34">
      <c r="H34" s="31" t="s">
        <v>79</v>
      </c>
      <c r="I34" s="90">
        <f t="shared" ref="I34:K34" si="12">SUM(I$27:I33)</f>
        <v>1991.28</v>
      </c>
      <c r="J34" s="115">
        <f t="shared" si="12"/>
        <v>594</v>
      </c>
      <c r="K34" s="116">
        <f t="shared" si="12"/>
        <v>1397.28</v>
      </c>
      <c r="L34" s="17" t="s">
        <v>176</v>
      </c>
      <c r="M34" s="17" t="s">
        <v>177</v>
      </c>
      <c r="N34" s="17" t="s">
        <v>292</v>
      </c>
    </row>
    <row r="35">
      <c r="A35" s="82" t="s">
        <v>215</v>
      </c>
      <c r="B35" s="61"/>
      <c r="C35" s="61"/>
      <c r="D35" s="61"/>
      <c r="E35" s="61"/>
      <c r="F35" s="61"/>
      <c r="G35" s="61"/>
      <c r="H35" s="61"/>
      <c r="I35" s="62"/>
      <c r="J35" s="117"/>
      <c r="K35" s="117"/>
      <c r="L35" s="118"/>
    </row>
    <row r="36">
      <c r="A36" s="26">
        <v>45967.0</v>
      </c>
      <c r="B36" s="17" t="s">
        <v>262</v>
      </c>
      <c r="C36" s="17" t="s">
        <v>263</v>
      </c>
      <c r="D36" s="17" t="s">
        <v>264</v>
      </c>
      <c r="E36" s="26">
        <v>45978.0</v>
      </c>
      <c r="F36" s="17" t="s">
        <v>265</v>
      </c>
      <c r="G36" s="111" t="s">
        <v>266</v>
      </c>
      <c r="H36" s="26">
        <v>31721.0</v>
      </c>
      <c r="I36" s="36">
        <f t="shared" ref="I36:I39" si="13">IF(C36&lt;&gt;"-",O$3,O$2)</f>
        <v>481.76</v>
      </c>
      <c r="J36" s="11">
        <v>153.0</v>
      </c>
      <c r="K36" s="36">
        <f t="shared" ref="K36:K39" si="14">I36-J36</f>
        <v>328.76</v>
      </c>
    </row>
    <row r="37">
      <c r="A37" s="26">
        <v>45967.0</v>
      </c>
      <c r="B37" s="17" t="s">
        <v>134</v>
      </c>
      <c r="C37" s="17" t="s">
        <v>134</v>
      </c>
      <c r="D37" s="17" t="s">
        <v>264</v>
      </c>
      <c r="E37" s="26">
        <v>45978.0</v>
      </c>
      <c r="F37" s="17" t="s">
        <v>268</v>
      </c>
      <c r="G37" s="111" t="s">
        <v>269</v>
      </c>
      <c r="H37" s="26">
        <v>28861.0</v>
      </c>
      <c r="I37" s="36">
        <f t="shared" si="13"/>
        <v>32.12</v>
      </c>
      <c r="J37" s="11">
        <v>11.0</v>
      </c>
      <c r="K37" s="36">
        <f t="shared" si="14"/>
        <v>21.12</v>
      </c>
    </row>
    <row r="38">
      <c r="A38" s="26">
        <v>45967.0</v>
      </c>
      <c r="B38" s="17" t="s">
        <v>262</v>
      </c>
      <c r="C38" s="17" t="s">
        <v>263</v>
      </c>
      <c r="D38" s="17" t="s">
        <v>271</v>
      </c>
      <c r="E38" s="112">
        <v>45982.0</v>
      </c>
      <c r="F38" s="17" t="s">
        <v>265</v>
      </c>
      <c r="G38" s="111" t="s">
        <v>266</v>
      </c>
      <c r="H38" s="26">
        <v>31721.0</v>
      </c>
      <c r="I38" s="36">
        <f t="shared" si="13"/>
        <v>481.76</v>
      </c>
      <c r="J38" s="11">
        <v>153.0</v>
      </c>
      <c r="K38" s="36">
        <f t="shared" si="14"/>
        <v>328.76</v>
      </c>
    </row>
    <row r="39">
      <c r="A39" s="26">
        <v>45967.0</v>
      </c>
      <c r="B39" s="17" t="s">
        <v>134</v>
      </c>
      <c r="C39" s="17" t="s">
        <v>134</v>
      </c>
      <c r="D39" s="17" t="s">
        <v>271</v>
      </c>
      <c r="E39" s="112">
        <v>45982.0</v>
      </c>
      <c r="F39" s="17" t="s">
        <v>268</v>
      </c>
      <c r="G39" s="111" t="s">
        <v>269</v>
      </c>
      <c r="H39" s="26">
        <v>28861.0</v>
      </c>
      <c r="I39" s="36">
        <f t="shared" si="13"/>
        <v>32.12</v>
      </c>
      <c r="J39" s="11">
        <v>11.0</v>
      </c>
      <c r="K39" s="36">
        <f t="shared" si="14"/>
        <v>21.12</v>
      </c>
    </row>
    <row r="40">
      <c r="A40" s="26"/>
      <c r="B40" s="8"/>
      <c r="C40" s="8"/>
      <c r="D40" s="8"/>
    </row>
    <row r="41">
      <c r="H41" s="31" t="s">
        <v>79</v>
      </c>
      <c r="I41" s="90">
        <f t="shared" ref="I41:K41" si="15">SUM(I$36:I40)</f>
        <v>1027.76</v>
      </c>
      <c r="J41" s="115">
        <f t="shared" si="15"/>
        <v>328</v>
      </c>
      <c r="K41" s="116">
        <f t="shared" si="15"/>
        <v>699.76</v>
      </c>
      <c r="L41" s="17" t="s">
        <v>176</v>
      </c>
      <c r="M41" s="17" t="s">
        <v>177</v>
      </c>
    </row>
    <row r="42">
      <c r="A42" s="82" t="s">
        <v>222</v>
      </c>
      <c r="B42" s="61"/>
      <c r="C42" s="61"/>
      <c r="D42" s="61"/>
      <c r="E42" s="61"/>
      <c r="F42" s="61"/>
      <c r="G42" s="61"/>
      <c r="H42" s="61"/>
      <c r="I42" s="62"/>
    </row>
    <row r="43">
      <c r="A43" s="112">
        <v>45989.0</v>
      </c>
      <c r="B43" s="17" t="s">
        <v>288</v>
      </c>
      <c r="C43" s="17" t="s">
        <v>289</v>
      </c>
      <c r="D43" s="17" t="s">
        <v>271</v>
      </c>
      <c r="E43" s="112">
        <v>46006.0</v>
      </c>
      <c r="F43" s="17" t="s">
        <v>265</v>
      </c>
      <c r="G43" s="111" t="s">
        <v>266</v>
      </c>
      <c r="H43" s="26">
        <v>31721.0</v>
      </c>
      <c r="I43" s="36">
        <f t="shared" ref="I43:I46" si="16">IF(C43&lt;&gt;"-",O$3,O$2)</f>
        <v>481.76</v>
      </c>
      <c r="J43" s="11">
        <v>153.0</v>
      </c>
      <c r="K43" s="36">
        <f t="shared" ref="K43:K46" si="17">I43-J43</f>
        <v>328.76</v>
      </c>
    </row>
    <row r="44">
      <c r="A44" s="112">
        <v>45989.0</v>
      </c>
      <c r="B44" s="17" t="s">
        <v>288</v>
      </c>
      <c r="C44" s="17" t="s">
        <v>289</v>
      </c>
      <c r="D44" s="17" t="s">
        <v>264</v>
      </c>
      <c r="E44" s="112">
        <v>46009.0</v>
      </c>
      <c r="F44" s="17" t="s">
        <v>265</v>
      </c>
      <c r="G44" s="111" t="s">
        <v>266</v>
      </c>
      <c r="H44" s="26">
        <v>31721.0</v>
      </c>
      <c r="I44" s="36">
        <f t="shared" si="16"/>
        <v>481.76</v>
      </c>
      <c r="J44" s="11">
        <v>153.0</v>
      </c>
      <c r="K44" s="36">
        <f t="shared" si="17"/>
        <v>328.76</v>
      </c>
    </row>
    <row r="45">
      <c r="A45" s="26">
        <v>45989.0</v>
      </c>
      <c r="B45" s="17" t="s">
        <v>262</v>
      </c>
      <c r="C45" s="17" t="s">
        <v>263</v>
      </c>
      <c r="D45" s="17" t="s">
        <v>264</v>
      </c>
      <c r="E45" s="26">
        <v>45926.0</v>
      </c>
      <c r="F45" s="17" t="s">
        <v>265</v>
      </c>
      <c r="G45" s="111" t="s">
        <v>266</v>
      </c>
      <c r="H45" s="26">
        <v>31721.0</v>
      </c>
      <c r="I45" s="36">
        <f t="shared" si="16"/>
        <v>481.76</v>
      </c>
      <c r="J45" s="17">
        <v>140.0</v>
      </c>
      <c r="K45" s="36">
        <f t="shared" si="17"/>
        <v>341.76</v>
      </c>
    </row>
    <row r="46">
      <c r="A46" s="26">
        <v>45989.0</v>
      </c>
      <c r="B46" s="17" t="s">
        <v>134</v>
      </c>
      <c r="C46" s="17" t="s">
        <v>134</v>
      </c>
      <c r="D46" s="17" t="s">
        <v>264</v>
      </c>
      <c r="E46" s="26">
        <v>45922.0</v>
      </c>
      <c r="F46" s="17" t="s">
        <v>291</v>
      </c>
      <c r="G46" s="111" t="s">
        <v>269</v>
      </c>
      <c r="H46" s="26">
        <v>28861.0</v>
      </c>
      <c r="I46" s="36">
        <f t="shared" si="16"/>
        <v>32.12</v>
      </c>
      <c r="J46" s="17">
        <v>10.0</v>
      </c>
      <c r="K46" s="36">
        <f t="shared" si="17"/>
        <v>22.12</v>
      </c>
      <c r="L46" s="17" t="s">
        <v>176</v>
      </c>
      <c r="M46" s="17" t="s">
        <v>177</v>
      </c>
    </row>
    <row r="47">
      <c r="H47" s="31" t="s">
        <v>79</v>
      </c>
      <c r="I47" s="90">
        <f t="shared" ref="I47:K47" si="18">SUM(I43:I46)</f>
        <v>1477.4</v>
      </c>
      <c r="J47" s="115">
        <f t="shared" si="18"/>
        <v>456</v>
      </c>
      <c r="K47" s="119">
        <f t="shared" si="18"/>
        <v>1021.4</v>
      </c>
    </row>
    <row r="48">
      <c r="A48" s="82" t="s">
        <v>225</v>
      </c>
      <c r="B48" s="61"/>
      <c r="C48" s="61"/>
      <c r="D48" s="61"/>
      <c r="E48" s="61"/>
      <c r="F48" s="61"/>
      <c r="G48" s="61"/>
      <c r="H48" s="61"/>
      <c r="I48" s="62"/>
    </row>
    <row r="49">
      <c r="A49" s="112">
        <v>46028.0</v>
      </c>
      <c r="B49" s="17" t="s">
        <v>288</v>
      </c>
      <c r="C49" s="17" t="s">
        <v>289</v>
      </c>
      <c r="D49" s="17" t="s">
        <v>271</v>
      </c>
      <c r="E49" s="112">
        <v>46034.0</v>
      </c>
      <c r="F49" s="17" t="s">
        <v>265</v>
      </c>
      <c r="G49" s="111" t="s">
        <v>266</v>
      </c>
      <c r="H49" s="26">
        <v>31721.0</v>
      </c>
      <c r="I49" s="36">
        <f t="shared" ref="I49:I56" si="19">IF(C49&lt;&gt;"-",O$3,O$2)</f>
        <v>481.76</v>
      </c>
      <c r="J49" s="11">
        <v>153.0</v>
      </c>
      <c r="K49" s="36">
        <f t="shared" ref="K49:K56" si="20">I49-J49</f>
        <v>328.76</v>
      </c>
    </row>
    <row r="50">
      <c r="A50" s="112">
        <v>46028.0</v>
      </c>
      <c r="B50" s="17" t="s">
        <v>288</v>
      </c>
      <c r="C50" s="17" t="s">
        <v>289</v>
      </c>
      <c r="D50" s="17" t="s">
        <v>264</v>
      </c>
      <c r="E50" s="112">
        <v>46036.0</v>
      </c>
      <c r="F50" s="17" t="s">
        <v>265</v>
      </c>
      <c r="G50" s="111" t="s">
        <v>266</v>
      </c>
      <c r="H50" s="26">
        <v>31721.0</v>
      </c>
      <c r="I50" s="36">
        <f t="shared" si="19"/>
        <v>481.76</v>
      </c>
      <c r="J50" s="11">
        <v>153.0</v>
      </c>
      <c r="K50" s="36">
        <f t="shared" si="20"/>
        <v>328.76</v>
      </c>
    </row>
    <row r="51">
      <c r="A51" s="112">
        <v>46043.0</v>
      </c>
      <c r="B51" s="17" t="s">
        <v>288</v>
      </c>
      <c r="C51" s="17" t="s">
        <v>289</v>
      </c>
      <c r="D51" s="17" t="s">
        <v>271</v>
      </c>
      <c r="E51" s="112">
        <v>46056.0</v>
      </c>
      <c r="F51" s="17" t="s">
        <v>265</v>
      </c>
      <c r="G51" s="111" t="s">
        <v>266</v>
      </c>
      <c r="H51" s="26">
        <v>31721.0</v>
      </c>
      <c r="I51" s="36">
        <f t="shared" si="19"/>
        <v>481.76</v>
      </c>
      <c r="J51" s="11">
        <v>153.0</v>
      </c>
      <c r="K51" s="36">
        <f t="shared" si="20"/>
        <v>328.76</v>
      </c>
    </row>
    <row r="52">
      <c r="A52" s="112">
        <v>46043.0</v>
      </c>
      <c r="B52" s="17" t="s">
        <v>288</v>
      </c>
      <c r="C52" s="17" t="s">
        <v>289</v>
      </c>
      <c r="D52" s="17" t="s">
        <v>264</v>
      </c>
      <c r="E52" s="112">
        <v>46058.0</v>
      </c>
      <c r="F52" s="17" t="s">
        <v>265</v>
      </c>
      <c r="G52" s="111" t="s">
        <v>266</v>
      </c>
      <c r="H52" s="26">
        <v>31721.0</v>
      </c>
      <c r="I52" s="36">
        <f t="shared" si="19"/>
        <v>481.76</v>
      </c>
      <c r="J52" s="11">
        <v>153.0</v>
      </c>
      <c r="K52" s="36">
        <f t="shared" si="20"/>
        <v>328.76</v>
      </c>
    </row>
    <row r="53">
      <c r="A53" s="26">
        <v>46051.0</v>
      </c>
      <c r="B53" s="17" t="s">
        <v>262</v>
      </c>
      <c r="C53" s="17" t="s">
        <v>263</v>
      </c>
      <c r="D53" s="17" t="s">
        <v>271</v>
      </c>
      <c r="E53" s="26">
        <v>46052.0</v>
      </c>
      <c r="F53" s="17" t="s">
        <v>293</v>
      </c>
      <c r="G53" s="17" t="s">
        <v>294</v>
      </c>
      <c r="I53" s="36">
        <f t="shared" si="19"/>
        <v>481.76</v>
      </c>
      <c r="J53" s="11">
        <v>153.0</v>
      </c>
      <c r="K53" s="36">
        <f t="shared" si="20"/>
        <v>328.76</v>
      </c>
    </row>
    <row r="54">
      <c r="A54" s="26">
        <v>46051.0</v>
      </c>
      <c r="B54" s="17" t="s">
        <v>134</v>
      </c>
      <c r="C54" s="17" t="s">
        <v>134</v>
      </c>
      <c r="D54" s="17" t="s">
        <v>271</v>
      </c>
      <c r="E54" s="26">
        <v>46052.0</v>
      </c>
      <c r="F54" s="17" t="s">
        <v>295</v>
      </c>
      <c r="G54" s="17" t="s">
        <v>296</v>
      </c>
      <c r="H54" s="26">
        <v>32888.0</v>
      </c>
      <c r="I54" s="36">
        <f t="shared" si="19"/>
        <v>32.12</v>
      </c>
      <c r="J54" s="11">
        <v>10.0</v>
      </c>
      <c r="K54" s="36">
        <f t="shared" si="20"/>
        <v>22.12</v>
      </c>
    </row>
    <row r="55">
      <c r="A55" s="26">
        <v>46051.0</v>
      </c>
      <c r="B55" s="17" t="s">
        <v>134</v>
      </c>
      <c r="C55" s="17" t="s">
        <v>134</v>
      </c>
      <c r="D55" s="17" t="s">
        <v>271</v>
      </c>
      <c r="E55" s="26">
        <v>46052.0</v>
      </c>
      <c r="F55" s="17" t="s">
        <v>297</v>
      </c>
      <c r="G55" s="17" t="s">
        <v>298</v>
      </c>
      <c r="H55" s="112">
        <v>31777.0</v>
      </c>
      <c r="I55" s="36">
        <f t="shared" si="19"/>
        <v>32.12</v>
      </c>
      <c r="J55" s="11">
        <v>10.0</v>
      </c>
      <c r="K55" s="36">
        <f t="shared" si="20"/>
        <v>22.12</v>
      </c>
    </row>
    <row r="56">
      <c r="A56" s="26">
        <v>46051.0</v>
      </c>
      <c r="B56" s="17" t="s">
        <v>134</v>
      </c>
      <c r="C56" s="17" t="s">
        <v>134</v>
      </c>
      <c r="D56" s="17" t="s">
        <v>271</v>
      </c>
      <c r="E56" s="26">
        <v>46052.0</v>
      </c>
      <c r="F56" s="17" t="s">
        <v>299</v>
      </c>
      <c r="G56" s="17" t="s">
        <v>300</v>
      </c>
      <c r="H56" s="26">
        <v>23830.0</v>
      </c>
      <c r="I56" s="36">
        <f t="shared" si="19"/>
        <v>32.12</v>
      </c>
      <c r="J56" s="11">
        <v>10.0</v>
      </c>
      <c r="K56" s="36">
        <f t="shared" si="20"/>
        <v>22.12</v>
      </c>
    </row>
    <row r="57">
      <c r="H57" s="31" t="s">
        <v>79</v>
      </c>
      <c r="I57" s="90">
        <f t="shared" ref="I57:K57" si="21">SUM(I49:I56)</f>
        <v>2505.16</v>
      </c>
      <c r="J57" s="36">
        <f t="shared" si="21"/>
        <v>795</v>
      </c>
      <c r="K57" s="36">
        <f t="shared" si="21"/>
        <v>1710.16</v>
      </c>
      <c r="L57" s="17" t="s">
        <v>176</v>
      </c>
      <c r="M57" s="17" t="s">
        <v>177</v>
      </c>
    </row>
    <row r="58">
      <c r="A58" s="82" t="s">
        <v>301</v>
      </c>
      <c r="B58" s="61"/>
      <c r="C58" s="61"/>
      <c r="D58" s="61"/>
      <c r="E58" s="61"/>
      <c r="F58" s="61"/>
      <c r="G58" s="61"/>
      <c r="H58" s="61"/>
      <c r="I58" s="62"/>
    </row>
    <row r="59">
      <c r="A59" s="26">
        <v>46086.0</v>
      </c>
      <c r="B59" s="17" t="s">
        <v>288</v>
      </c>
      <c r="C59" s="17" t="s">
        <v>289</v>
      </c>
      <c r="D59" s="17" t="s">
        <v>271</v>
      </c>
      <c r="E59" s="26">
        <v>46090.0</v>
      </c>
      <c r="F59" s="17" t="s">
        <v>265</v>
      </c>
      <c r="G59" s="111" t="s">
        <v>266</v>
      </c>
      <c r="H59" s="26">
        <v>31721.0</v>
      </c>
      <c r="I59" s="36">
        <f t="shared" ref="I59:I68" si="22">IF(C59&lt;&gt;"-",O$3,O$2)</f>
        <v>481.76</v>
      </c>
      <c r="J59" s="11">
        <v>153.0</v>
      </c>
      <c r="K59" s="36">
        <f t="shared" ref="K59:K62" si="23">I59-J59</f>
        <v>328.76</v>
      </c>
    </row>
    <row r="60">
      <c r="A60" s="26">
        <v>46086.0</v>
      </c>
      <c r="B60" s="17" t="s">
        <v>288</v>
      </c>
      <c r="C60" s="17" t="s">
        <v>289</v>
      </c>
      <c r="D60" s="17" t="s">
        <v>264</v>
      </c>
      <c r="E60" s="26">
        <v>46093.0</v>
      </c>
      <c r="F60" s="17" t="s">
        <v>265</v>
      </c>
      <c r="G60" s="111" t="s">
        <v>266</v>
      </c>
      <c r="H60" s="26">
        <v>31721.0</v>
      </c>
      <c r="I60" s="36">
        <f t="shared" si="22"/>
        <v>481.76</v>
      </c>
      <c r="J60" s="11">
        <v>153.0</v>
      </c>
      <c r="K60" s="36">
        <f t="shared" si="23"/>
        <v>328.76</v>
      </c>
    </row>
    <row r="61">
      <c r="A61" s="26">
        <v>46112.0</v>
      </c>
      <c r="B61" s="17" t="s">
        <v>288</v>
      </c>
      <c r="C61" s="17" t="s">
        <v>289</v>
      </c>
      <c r="D61" s="17" t="s">
        <v>271</v>
      </c>
      <c r="E61" s="26">
        <v>46119.0</v>
      </c>
      <c r="F61" s="17" t="s">
        <v>265</v>
      </c>
      <c r="G61" s="111" t="s">
        <v>266</v>
      </c>
      <c r="H61" s="26">
        <v>31721.0</v>
      </c>
      <c r="I61" s="36">
        <f t="shared" si="22"/>
        <v>481.76</v>
      </c>
      <c r="J61" s="11">
        <v>230.0</v>
      </c>
      <c r="K61" s="36">
        <f t="shared" si="23"/>
        <v>251.76</v>
      </c>
    </row>
    <row r="62">
      <c r="A62" s="26">
        <v>46112.0</v>
      </c>
      <c r="B62" s="17" t="s">
        <v>288</v>
      </c>
      <c r="C62" s="17" t="s">
        <v>289</v>
      </c>
      <c r="D62" s="17" t="s">
        <v>264</v>
      </c>
      <c r="E62" s="26">
        <v>46122.0</v>
      </c>
      <c r="F62" s="17" t="s">
        <v>265</v>
      </c>
      <c r="G62" s="111" t="s">
        <v>266</v>
      </c>
      <c r="H62" s="26">
        <v>31721.0</v>
      </c>
      <c r="I62" s="36">
        <f t="shared" si="22"/>
        <v>481.76</v>
      </c>
      <c r="J62" s="11">
        <v>141.0</v>
      </c>
      <c r="K62" s="36">
        <f t="shared" si="23"/>
        <v>340.76</v>
      </c>
    </row>
    <row r="63">
      <c r="A63" s="26">
        <v>46129.0</v>
      </c>
      <c r="B63" s="17" t="s">
        <v>288</v>
      </c>
      <c r="C63" s="17" t="s">
        <v>289</v>
      </c>
      <c r="D63" s="17" t="s">
        <v>271</v>
      </c>
      <c r="E63" s="26">
        <v>46133.0</v>
      </c>
      <c r="F63" s="17" t="s">
        <v>265</v>
      </c>
      <c r="G63" s="111" t="s">
        <v>266</v>
      </c>
      <c r="H63" s="26">
        <v>31721.0</v>
      </c>
      <c r="I63" s="36">
        <f t="shared" si="22"/>
        <v>481.76</v>
      </c>
      <c r="J63" s="11">
        <v>230.0</v>
      </c>
    </row>
    <row r="64">
      <c r="A64" s="26">
        <v>46129.0</v>
      </c>
      <c r="B64" s="17" t="s">
        <v>288</v>
      </c>
      <c r="C64" s="17" t="s">
        <v>289</v>
      </c>
      <c r="D64" s="17" t="s">
        <v>264</v>
      </c>
      <c r="E64" s="26">
        <v>46136.0</v>
      </c>
      <c r="F64" s="17" t="s">
        <v>265</v>
      </c>
      <c r="G64" s="111" t="s">
        <v>266</v>
      </c>
      <c r="H64" s="26">
        <v>31721.0</v>
      </c>
      <c r="I64" s="36">
        <f t="shared" si="22"/>
        <v>481.76</v>
      </c>
      <c r="J64" s="11">
        <v>143.0</v>
      </c>
    </row>
    <row r="65">
      <c r="A65" s="26">
        <v>46129.0</v>
      </c>
      <c r="B65" s="17" t="s">
        <v>262</v>
      </c>
      <c r="C65" s="17" t="s">
        <v>289</v>
      </c>
      <c r="D65" s="17" t="s">
        <v>264</v>
      </c>
      <c r="E65" s="26">
        <v>46139.0</v>
      </c>
      <c r="F65" s="17" t="s">
        <v>265</v>
      </c>
      <c r="G65" s="111" t="s">
        <v>266</v>
      </c>
      <c r="H65" s="26">
        <v>31721.0</v>
      </c>
      <c r="I65" s="36">
        <f t="shared" si="22"/>
        <v>481.76</v>
      </c>
      <c r="J65" s="11">
        <v>200.0</v>
      </c>
    </row>
    <row r="66">
      <c r="A66" s="26">
        <v>46129.0</v>
      </c>
      <c r="B66" s="17" t="s">
        <v>134</v>
      </c>
      <c r="C66" s="17" t="s">
        <v>134</v>
      </c>
      <c r="D66" s="17" t="s">
        <v>264</v>
      </c>
      <c r="E66" s="26">
        <v>46139.0</v>
      </c>
      <c r="F66" s="17" t="s">
        <v>302</v>
      </c>
      <c r="G66" s="111" t="s">
        <v>303</v>
      </c>
      <c r="H66" s="26">
        <v>31594.0</v>
      </c>
      <c r="I66" s="36">
        <f t="shared" si="22"/>
        <v>32.12</v>
      </c>
      <c r="J66" s="11">
        <v>11.0</v>
      </c>
    </row>
    <row r="67">
      <c r="A67" s="26">
        <v>46129.0</v>
      </c>
      <c r="B67" s="17" t="s">
        <v>262</v>
      </c>
      <c r="C67" s="17" t="s">
        <v>289</v>
      </c>
      <c r="D67" s="17" t="s">
        <v>271</v>
      </c>
      <c r="E67" s="26">
        <v>46142.0</v>
      </c>
      <c r="F67" s="17" t="s">
        <v>265</v>
      </c>
      <c r="G67" s="111" t="s">
        <v>266</v>
      </c>
      <c r="H67" s="26">
        <v>31721.0</v>
      </c>
      <c r="I67" s="36">
        <f t="shared" si="22"/>
        <v>481.76</v>
      </c>
      <c r="J67" s="11">
        <v>250.0</v>
      </c>
    </row>
    <row r="68">
      <c r="A68" s="26">
        <v>46129.0</v>
      </c>
      <c r="B68" s="17" t="s">
        <v>134</v>
      </c>
      <c r="C68" s="17" t="s">
        <v>134</v>
      </c>
      <c r="D68" s="17" t="s">
        <v>271</v>
      </c>
      <c r="E68" s="26">
        <v>46142.0</v>
      </c>
      <c r="F68" s="17" t="s">
        <v>302</v>
      </c>
      <c r="G68" s="111" t="s">
        <v>303</v>
      </c>
      <c r="H68" s="26">
        <v>31594.0</v>
      </c>
      <c r="I68" s="36">
        <f t="shared" si="22"/>
        <v>32.12</v>
      </c>
      <c r="J68" s="11">
        <v>11.0</v>
      </c>
    </row>
    <row r="70">
      <c r="H70" s="31" t="s">
        <v>79</v>
      </c>
      <c r="I70" s="90">
        <f>SUM(I59:I69)</f>
        <v>3918.32</v>
      </c>
      <c r="L70" s="17" t="s">
        <v>176</v>
      </c>
      <c r="M70" s="17" t="s">
        <v>177</v>
      </c>
    </row>
    <row r="71">
      <c r="A71" s="82" t="s">
        <v>249</v>
      </c>
      <c r="B71" s="61"/>
      <c r="C71" s="61"/>
      <c r="D71" s="61"/>
      <c r="E71" s="61"/>
      <c r="F71" s="61"/>
      <c r="G71" s="61"/>
      <c r="H71" s="61"/>
      <c r="I71" s="62"/>
    </row>
    <row r="72">
      <c r="A72" s="26">
        <v>46142.0</v>
      </c>
      <c r="B72" s="17" t="s">
        <v>134</v>
      </c>
      <c r="C72" s="17" t="s">
        <v>134</v>
      </c>
      <c r="D72" s="17" t="s">
        <v>264</v>
      </c>
      <c r="E72" s="26">
        <v>46148.0</v>
      </c>
      <c r="F72" s="17" t="s">
        <v>295</v>
      </c>
      <c r="G72" s="17" t="s">
        <v>296</v>
      </c>
      <c r="H72" s="26">
        <v>32888.0</v>
      </c>
      <c r="I72" s="36">
        <f t="shared" ref="I72:I99" si="24">IF(C72&lt;&gt;"-",O$3,O$2)</f>
        <v>32.12</v>
      </c>
      <c r="J72" s="17">
        <v>11.0</v>
      </c>
    </row>
    <row r="73">
      <c r="A73" s="26">
        <v>46142.0</v>
      </c>
      <c r="B73" s="17" t="s">
        <v>134</v>
      </c>
      <c r="C73" s="17" t="s">
        <v>134</v>
      </c>
      <c r="D73" s="17" t="s">
        <v>264</v>
      </c>
      <c r="E73" s="26">
        <v>46148.0</v>
      </c>
      <c r="F73" s="17" t="s">
        <v>297</v>
      </c>
      <c r="G73" s="17" t="s">
        <v>298</v>
      </c>
      <c r="H73" s="112">
        <v>31777.0</v>
      </c>
      <c r="I73" s="36">
        <f t="shared" si="24"/>
        <v>32.12</v>
      </c>
      <c r="J73" s="17">
        <v>11.0</v>
      </c>
    </row>
    <row r="74">
      <c r="A74" s="26">
        <v>46142.0</v>
      </c>
      <c r="B74" s="17" t="s">
        <v>262</v>
      </c>
      <c r="C74" s="17" t="s">
        <v>304</v>
      </c>
      <c r="D74" s="17" t="s">
        <v>264</v>
      </c>
      <c r="E74" s="26">
        <v>46148.0</v>
      </c>
      <c r="F74" s="17" t="s">
        <v>305</v>
      </c>
      <c r="G74" s="17" t="s">
        <v>306</v>
      </c>
      <c r="H74" s="26">
        <v>30258.0</v>
      </c>
      <c r="I74" s="36">
        <f t="shared" si="24"/>
        <v>481.76</v>
      </c>
      <c r="J74" s="17">
        <v>143.0</v>
      </c>
    </row>
    <row r="75">
      <c r="A75" s="26">
        <v>46142.0</v>
      </c>
      <c r="B75" s="17" t="s">
        <v>134</v>
      </c>
      <c r="C75" s="17" t="s">
        <v>134</v>
      </c>
      <c r="D75" s="17" t="s">
        <v>264</v>
      </c>
      <c r="E75" s="26">
        <v>46148.0</v>
      </c>
      <c r="F75" s="17" t="s">
        <v>307</v>
      </c>
      <c r="G75" s="17" t="s">
        <v>308</v>
      </c>
      <c r="H75" s="26">
        <v>25235.0</v>
      </c>
      <c r="I75" s="36">
        <f t="shared" si="24"/>
        <v>32.12</v>
      </c>
      <c r="J75" s="17">
        <v>11.0</v>
      </c>
    </row>
    <row r="76">
      <c r="A76" s="26">
        <v>46142.0</v>
      </c>
      <c r="B76" s="17" t="s">
        <v>134</v>
      </c>
      <c r="C76" s="17" t="s">
        <v>134</v>
      </c>
      <c r="D76" s="17" t="s">
        <v>264</v>
      </c>
      <c r="E76" s="26">
        <v>46148.0</v>
      </c>
      <c r="F76" s="17" t="s">
        <v>309</v>
      </c>
      <c r="G76" s="17" t="s">
        <v>310</v>
      </c>
      <c r="H76" s="112">
        <v>31006.0</v>
      </c>
      <c r="I76" s="36">
        <f t="shared" si="24"/>
        <v>32.12</v>
      </c>
      <c r="J76" s="17">
        <v>11.0</v>
      </c>
    </row>
    <row r="77">
      <c r="A77" s="26">
        <v>46142.0</v>
      </c>
      <c r="B77" s="17" t="s">
        <v>134</v>
      </c>
      <c r="C77" s="17" t="s">
        <v>134</v>
      </c>
      <c r="D77" s="17" t="s">
        <v>271</v>
      </c>
      <c r="E77" s="26">
        <v>46150.0</v>
      </c>
      <c r="F77" s="17" t="s">
        <v>295</v>
      </c>
      <c r="G77" s="17" t="s">
        <v>296</v>
      </c>
      <c r="H77" s="26">
        <v>32888.0</v>
      </c>
      <c r="I77" s="36">
        <f t="shared" si="24"/>
        <v>32.12</v>
      </c>
      <c r="J77" s="17">
        <v>11.0</v>
      </c>
    </row>
    <row r="78">
      <c r="A78" s="26">
        <v>46142.0</v>
      </c>
      <c r="B78" s="17" t="s">
        <v>134</v>
      </c>
      <c r="C78" s="17" t="s">
        <v>134</v>
      </c>
      <c r="D78" s="17" t="s">
        <v>271</v>
      </c>
      <c r="E78" s="26">
        <v>46150.0</v>
      </c>
      <c r="F78" s="17" t="s">
        <v>297</v>
      </c>
      <c r="G78" s="17" t="s">
        <v>298</v>
      </c>
      <c r="H78" s="112">
        <v>31777.0</v>
      </c>
      <c r="I78" s="36">
        <f t="shared" si="24"/>
        <v>32.12</v>
      </c>
      <c r="J78" s="17">
        <v>11.0</v>
      </c>
    </row>
    <row r="79">
      <c r="A79" s="26">
        <v>46142.0</v>
      </c>
      <c r="B79" s="17" t="s">
        <v>262</v>
      </c>
      <c r="C79" s="17" t="s">
        <v>304</v>
      </c>
      <c r="D79" s="17" t="s">
        <v>271</v>
      </c>
      <c r="E79" s="26">
        <v>46150.0</v>
      </c>
      <c r="F79" s="17" t="s">
        <v>305</v>
      </c>
      <c r="G79" s="17" t="s">
        <v>306</v>
      </c>
      <c r="H79" s="26">
        <v>30258.0</v>
      </c>
      <c r="I79" s="36">
        <f t="shared" si="24"/>
        <v>481.76</v>
      </c>
      <c r="J79" s="17">
        <v>143.0</v>
      </c>
    </row>
    <row r="80">
      <c r="A80" s="26">
        <v>46142.0</v>
      </c>
      <c r="B80" s="17" t="s">
        <v>134</v>
      </c>
      <c r="C80" s="17" t="s">
        <v>134</v>
      </c>
      <c r="D80" s="17" t="s">
        <v>271</v>
      </c>
      <c r="E80" s="26">
        <v>46150.0</v>
      </c>
      <c r="F80" s="17" t="s">
        <v>307</v>
      </c>
      <c r="G80" s="17" t="s">
        <v>308</v>
      </c>
      <c r="H80" s="26">
        <v>25235.0</v>
      </c>
      <c r="I80" s="36">
        <f t="shared" si="24"/>
        <v>32.12</v>
      </c>
      <c r="J80" s="17">
        <v>11.0</v>
      </c>
    </row>
    <row r="81">
      <c r="A81" s="26">
        <v>46142.0</v>
      </c>
      <c r="B81" s="17" t="s">
        <v>134</v>
      </c>
      <c r="C81" s="17" t="s">
        <v>134</v>
      </c>
      <c r="D81" s="17" t="s">
        <v>271</v>
      </c>
      <c r="E81" s="26">
        <v>46150.0</v>
      </c>
      <c r="F81" s="17" t="s">
        <v>309</v>
      </c>
      <c r="G81" s="17" t="s">
        <v>310</v>
      </c>
      <c r="H81" s="112">
        <v>31006.0</v>
      </c>
      <c r="I81" s="36">
        <f t="shared" si="24"/>
        <v>32.12</v>
      </c>
      <c r="J81" s="17">
        <v>11.0</v>
      </c>
    </row>
    <row r="82">
      <c r="A82" s="26">
        <v>46142.0</v>
      </c>
      <c r="B82" s="17" t="s">
        <v>134</v>
      </c>
      <c r="C82" s="17" t="s">
        <v>134</v>
      </c>
      <c r="D82" s="17" t="s">
        <v>264</v>
      </c>
      <c r="E82" s="26">
        <v>46148.0</v>
      </c>
      <c r="F82" s="17" t="s">
        <v>311</v>
      </c>
      <c r="G82" s="17" t="s">
        <v>312</v>
      </c>
      <c r="H82" s="26">
        <v>29238.0</v>
      </c>
      <c r="I82" s="36">
        <f t="shared" si="24"/>
        <v>32.12</v>
      </c>
      <c r="J82" s="17">
        <v>11.0</v>
      </c>
    </row>
    <row r="83">
      <c r="A83" s="26">
        <v>46142.0</v>
      </c>
      <c r="B83" s="17" t="s">
        <v>134</v>
      </c>
      <c r="C83" s="17" t="s">
        <v>134</v>
      </c>
      <c r="D83" s="17" t="s">
        <v>264</v>
      </c>
      <c r="E83" s="26">
        <v>46148.0</v>
      </c>
      <c r="F83" s="17" t="s">
        <v>313</v>
      </c>
      <c r="G83" s="17" t="s">
        <v>314</v>
      </c>
      <c r="H83" s="26">
        <v>29493.0</v>
      </c>
      <c r="I83" s="36">
        <f t="shared" si="24"/>
        <v>32.12</v>
      </c>
      <c r="J83" s="17">
        <v>11.0</v>
      </c>
    </row>
    <row r="84">
      <c r="A84" s="26">
        <v>46142.0</v>
      </c>
      <c r="B84" s="17" t="s">
        <v>262</v>
      </c>
      <c r="C84" s="17" t="s">
        <v>304</v>
      </c>
      <c r="D84" s="17" t="s">
        <v>264</v>
      </c>
      <c r="E84" s="26">
        <v>46148.0</v>
      </c>
      <c r="F84" s="17" t="s">
        <v>315</v>
      </c>
      <c r="G84" s="17" t="s">
        <v>316</v>
      </c>
      <c r="H84" s="112">
        <v>29576.0</v>
      </c>
      <c r="I84" s="36">
        <f t="shared" si="24"/>
        <v>481.76</v>
      </c>
      <c r="J84" s="17">
        <v>143.0</v>
      </c>
    </row>
    <row r="85">
      <c r="A85" s="26">
        <v>46142.0</v>
      </c>
      <c r="B85" s="2" t="s">
        <v>134</v>
      </c>
      <c r="C85" s="2" t="s">
        <v>134</v>
      </c>
      <c r="D85" s="17" t="s">
        <v>264</v>
      </c>
      <c r="E85" s="26">
        <v>46148.0</v>
      </c>
      <c r="F85" s="17" t="s">
        <v>317</v>
      </c>
      <c r="G85" s="17" t="s">
        <v>318</v>
      </c>
      <c r="H85" s="26">
        <v>30688.0</v>
      </c>
      <c r="I85" s="36">
        <f t="shared" si="24"/>
        <v>32.12</v>
      </c>
      <c r="J85" s="17">
        <v>11.0</v>
      </c>
    </row>
    <row r="86">
      <c r="A86" s="26">
        <v>46142.0</v>
      </c>
      <c r="B86" s="2" t="s">
        <v>134</v>
      </c>
      <c r="C86" s="2" t="s">
        <v>134</v>
      </c>
      <c r="D86" s="17" t="s">
        <v>264</v>
      </c>
      <c r="E86" s="26">
        <v>46148.0</v>
      </c>
      <c r="F86" s="17" t="s">
        <v>319</v>
      </c>
      <c r="G86" s="17" t="s">
        <v>277</v>
      </c>
      <c r="H86" s="26">
        <v>31594.0</v>
      </c>
      <c r="I86" s="36">
        <f t="shared" si="24"/>
        <v>32.12</v>
      </c>
      <c r="J86" s="17">
        <v>11.0</v>
      </c>
    </row>
    <row r="87">
      <c r="A87" s="26">
        <v>46142.0</v>
      </c>
      <c r="B87" s="2" t="s">
        <v>134</v>
      </c>
      <c r="C87" s="2" t="s">
        <v>134</v>
      </c>
      <c r="D87" s="17" t="s">
        <v>271</v>
      </c>
      <c r="E87" s="26">
        <v>46148.0</v>
      </c>
      <c r="F87" s="17" t="s">
        <v>311</v>
      </c>
      <c r="G87" s="17" t="s">
        <v>312</v>
      </c>
      <c r="H87" s="26">
        <v>29238.0</v>
      </c>
      <c r="I87" s="36">
        <f t="shared" si="24"/>
        <v>32.12</v>
      </c>
      <c r="J87" s="17">
        <v>11.0</v>
      </c>
    </row>
    <row r="88">
      <c r="A88" s="26">
        <v>46142.0</v>
      </c>
      <c r="B88" s="2" t="s">
        <v>134</v>
      </c>
      <c r="C88" s="2" t="s">
        <v>134</v>
      </c>
      <c r="D88" s="17" t="s">
        <v>271</v>
      </c>
      <c r="E88" s="26">
        <v>46148.0</v>
      </c>
      <c r="F88" s="17" t="s">
        <v>313</v>
      </c>
      <c r="G88" s="17" t="s">
        <v>314</v>
      </c>
      <c r="H88" s="26">
        <v>29493.0</v>
      </c>
      <c r="I88" s="36">
        <f t="shared" si="24"/>
        <v>32.12</v>
      </c>
      <c r="J88" s="17">
        <v>11.0</v>
      </c>
    </row>
    <row r="89">
      <c r="A89" s="26">
        <v>46142.0</v>
      </c>
      <c r="B89" s="17" t="s">
        <v>262</v>
      </c>
      <c r="C89" s="17" t="s">
        <v>304</v>
      </c>
      <c r="D89" s="17" t="s">
        <v>271</v>
      </c>
      <c r="E89" s="26">
        <v>46148.0</v>
      </c>
      <c r="F89" s="17" t="s">
        <v>315</v>
      </c>
      <c r="G89" s="17" t="s">
        <v>316</v>
      </c>
      <c r="H89" s="112">
        <v>29576.0</v>
      </c>
      <c r="I89" s="36">
        <f t="shared" si="24"/>
        <v>481.76</v>
      </c>
      <c r="J89" s="17">
        <v>143.0</v>
      </c>
    </row>
    <row r="90">
      <c r="A90" s="26">
        <v>46142.0</v>
      </c>
      <c r="B90" s="2" t="s">
        <v>134</v>
      </c>
      <c r="C90" s="2" t="s">
        <v>134</v>
      </c>
      <c r="D90" s="17" t="s">
        <v>271</v>
      </c>
      <c r="E90" s="26">
        <v>46148.0</v>
      </c>
      <c r="F90" s="17" t="s">
        <v>317</v>
      </c>
      <c r="G90" s="17" t="s">
        <v>318</v>
      </c>
      <c r="H90" s="26">
        <v>30688.0</v>
      </c>
      <c r="I90" s="36">
        <f t="shared" si="24"/>
        <v>32.12</v>
      </c>
      <c r="J90" s="17">
        <v>11.0</v>
      </c>
    </row>
    <row r="91">
      <c r="A91" s="26">
        <v>46142.0</v>
      </c>
      <c r="B91" s="2" t="s">
        <v>134</v>
      </c>
      <c r="C91" s="2" t="s">
        <v>134</v>
      </c>
      <c r="D91" s="17" t="s">
        <v>271</v>
      </c>
      <c r="E91" s="26">
        <v>46148.0</v>
      </c>
      <c r="F91" s="17" t="s">
        <v>319</v>
      </c>
      <c r="G91" s="17" t="s">
        <v>277</v>
      </c>
      <c r="H91" s="26">
        <v>31594.0</v>
      </c>
      <c r="I91" s="36">
        <f t="shared" si="24"/>
        <v>32.12</v>
      </c>
      <c r="J91" s="17">
        <v>11.0</v>
      </c>
    </row>
    <row r="92">
      <c r="A92" s="26">
        <v>46142.0</v>
      </c>
      <c r="B92" s="17" t="s">
        <v>262</v>
      </c>
      <c r="C92" s="17" t="s">
        <v>304</v>
      </c>
      <c r="D92" s="17" t="s">
        <v>264</v>
      </c>
      <c r="E92" s="26">
        <v>46150.0</v>
      </c>
      <c r="F92" s="17" t="s">
        <v>320</v>
      </c>
      <c r="G92" s="17">
        <v>7.0427003334E10</v>
      </c>
      <c r="H92" s="26">
        <v>31959.0</v>
      </c>
      <c r="I92" s="36">
        <f t="shared" si="24"/>
        <v>481.76</v>
      </c>
      <c r="J92" s="17">
        <v>143.0</v>
      </c>
    </row>
    <row r="93">
      <c r="A93" s="26">
        <v>46142.0</v>
      </c>
      <c r="B93" s="2" t="s">
        <v>134</v>
      </c>
      <c r="C93" s="2" t="s">
        <v>134</v>
      </c>
      <c r="D93" s="17" t="s">
        <v>264</v>
      </c>
      <c r="E93" s="26">
        <v>46150.0</v>
      </c>
      <c r="F93" s="17" t="s">
        <v>321</v>
      </c>
      <c r="G93" s="111" t="s">
        <v>322</v>
      </c>
      <c r="H93" s="26">
        <v>35133.0</v>
      </c>
      <c r="I93" s="36">
        <f t="shared" si="24"/>
        <v>32.12</v>
      </c>
      <c r="J93" s="17">
        <v>11.0</v>
      </c>
    </row>
    <row r="94">
      <c r="A94" s="26">
        <v>46142.0</v>
      </c>
      <c r="B94" s="2" t="s">
        <v>134</v>
      </c>
      <c r="C94" s="2" t="s">
        <v>134</v>
      </c>
      <c r="D94" s="17" t="s">
        <v>264</v>
      </c>
      <c r="E94" s="26">
        <v>46150.0</v>
      </c>
      <c r="F94" s="17" t="s">
        <v>323</v>
      </c>
      <c r="G94" s="17">
        <v>6.1159022313E10</v>
      </c>
      <c r="H94" s="112">
        <v>27013.0</v>
      </c>
      <c r="I94" s="36">
        <f t="shared" si="24"/>
        <v>32.12</v>
      </c>
      <c r="J94" s="17">
        <v>11.0</v>
      </c>
    </row>
    <row r="95">
      <c r="A95" s="26">
        <v>46142.0</v>
      </c>
      <c r="B95" s="17" t="s">
        <v>262</v>
      </c>
      <c r="C95" s="17" t="s">
        <v>304</v>
      </c>
      <c r="D95" s="17" t="s">
        <v>271</v>
      </c>
      <c r="E95" s="26">
        <v>46150.0</v>
      </c>
      <c r="F95" s="17" t="s">
        <v>320</v>
      </c>
      <c r="G95" s="17">
        <v>7.0427003334E10</v>
      </c>
      <c r="H95" s="26">
        <v>31959.0</v>
      </c>
      <c r="I95" s="36">
        <f t="shared" si="24"/>
        <v>481.76</v>
      </c>
      <c r="J95" s="17">
        <v>143.0</v>
      </c>
    </row>
    <row r="96">
      <c r="A96" s="26">
        <v>46142.0</v>
      </c>
      <c r="B96" s="2" t="s">
        <v>134</v>
      </c>
      <c r="C96" s="2" t="s">
        <v>134</v>
      </c>
      <c r="D96" s="17" t="s">
        <v>271</v>
      </c>
      <c r="E96" s="26">
        <v>46150.0</v>
      </c>
      <c r="F96" s="17" t="s">
        <v>321</v>
      </c>
      <c r="G96" s="111" t="s">
        <v>322</v>
      </c>
      <c r="H96" s="26">
        <v>35133.0</v>
      </c>
      <c r="I96" s="36">
        <f t="shared" si="24"/>
        <v>32.12</v>
      </c>
      <c r="J96" s="17">
        <v>11.0</v>
      </c>
    </row>
    <row r="97">
      <c r="A97" s="26">
        <v>46142.0</v>
      </c>
      <c r="B97" s="2" t="s">
        <v>134</v>
      </c>
      <c r="C97" s="2" t="s">
        <v>134</v>
      </c>
      <c r="D97" s="17" t="s">
        <v>271</v>
      </c>
      <c r="E97" s="26">
        <v>46150.0</v>
      </c>
      <c r="F97" s="17" t="s">
        <v>323</v>
      </c>
      <c r="G97" s="17">
        <v>6.1159022313E10</v>
      </c>
      <c r="H97" s="112">
        <v>27013.0</v>
      </c>
      <c r="I97" s="36">
        <f t="shared" si="24"/>
        <v>32.12</v>
      </c>
      <c r="J97" s="17">
        <v>11.0</v>
      </c>
      <c r="M97" s="17">
        <v>2069.85</v>
      </c>
    </row>
    <row r="98">
      <c r="A98" s="26">
        <v>46148.0</v>
      </c>
      <c r="B98" s="17" t="s">
        <v>288</v>
      </c>
      <c r="C98" s="17" t="s">
        <v>289</v>
      </c>
      <c r="D98" s="17" t="s">
        <v>271</v>
      </c>
      <c r="E98" s="26">
        <v>46153.0</v>
      </c>
      <c r="F98" s="17" t="s">
        <v>265</v>
      </c>
      <c r="G98" s="111" t="s">
        <v>266</v>
      </c>
      <c r="H98" s="26">
        <v>31721.0</v>
      </c>
      <c r="I98" s="36">
        <f t="shared" si="24"/>
        <v>481.76</v>
      </c>
      <c r="J98" s="17">
        <v>143.0</v>
      </c>
      <c r="M98" s="36">
        <f>I102-M97</f>
        <v>2426.63</v>
      </c>
    </row>
    <row r="99">
      <c r="A99" s="26">
        <v>46148.0</v>
      </c>
      <c r="B99" s="17" t="s">
        <v>288</v>
      </c>
      <c r="C99" s="17" t="s">
        <v>289</v>
      </c>
      <c r="D99" s="17" t="s">
        <v>264</v>
      </c>
      <c r="E99" s="26">
        <v>46157.0</v>
      </c>
      <c r="F99" s="17" t="s">
        <v>265</v>
      </c>
      <c r="G99" s="111" t="s">
        <v>266</v>
      </c>
      <c r="H99" s="26">
        <v>31721.0</v>
      </c>
      <c r="I99" s="36">
        <f t="shared" si="24"/>
        <v>481.76</v>
      </c>
      <c r="J99" s="17">
        <v>143.0</v>
      </c>
    </row>
    <row r="102">
      <c r="H102" s="31" t="s">
        <v>79</v>
      </c>
      <c r="I102" s="90">
        <f t="shared" ref="I102:J102" si="25">SUM(I72:I101)</f>
        <v>4496.48</v>
      </c>
      <c r="J102" s="120">
        <f t="shared" si="25"/>
        <v>1364</v>
      </c>
      <c r="K102" s="36">
        <f>I102-J102</f>
        <v>3132.48</v>
      </c>
      <c r="L102" s="17" t="s">
        <v>324</v>
      </c>
      <c r="M102" s="17" t="s">
        <v>325</v>
      </c>
    </row>
    <row r="103">
      <c r="A103" s="82" t="s">
        <v>326</v>
      </c>
      <c r="B103" s="61"/>
      <c r="C103" s="61"/>
      <c r="D103" s="61"/>
      <c r="E103" s="61"/>
      <c r="F103" s="61"/>
      <c r="G103" s="61"/>
      <c r="H103" s="61"/>
      <c r="I103" s="62"/>
      <c r="M103" s="17" t="s">
        <v>327</v>
      </c>
    </row>
    <row r="104">
      <c r="A104" s="26">
        <v>46169.0</v>
      </c>
      <c r="B104" s="17" t="s">
        <v>288</v>
      </c>
      <c r="C104" s="17" t="s">
        <v>289</v>
      </c>
      <c r="D104" s="17" t="s">
        <v>271</v>
      </c>
      <c r="E104" s="26">
        <v>46179.0</v>
      </c>
      <c r="F104" s="17" t="s">
        <v>265</v>
      </c>
      <c r="G104" s="111" t="s">
        <v>266</v>
      </c>
      <c r="H104" s="26">
        <v>31721.0</v>
      </c>
      <c r="M104" s="17" t="s">
        <v>267</v>
      </c>
      <c r="N104" s="11">
        <v>32.12</v>
      </c>
    </row>
    <row r="105">
      <c r="A105" s="26">
        <v>46169.0</v>
      </c>
      <c r="B105" s="17" t="s">
        <v>288</v>
      </c>
      <c r="C105" s="17" t="s">
        <v>289</v>
      </c>
      <c r="D105" s="17" t="s">
        <v>264</v>
      </c>
      <c r="E105" s="26">
        <v>46183.0</v>
      </c>
      <c r="F105" s="17" t="s">
        <v>265</v>
      </c>
      <c r="G105" s="111" t="s">
        <v>266</v>
      </c>
      <c r="H105" s="26">
        <v>31721.0</v>
      </c>
      <c r="M105" s="17" t="s">
        <v>270</v>
      </c>
      <c r="N105" s="11">
        <v>481.76</v>
      </c>
    </row>
  </sheetData>
  <mergeCells count="9">
    <mergeCell ref="A71:I71"/>
    <mergeCell ref="A103:I103"/>
    <mergeCell ref="A15:I15"/>
    <mergeCell ref="A22:I22"/>
    <mergeCell ref="A26:I26"/>
    <mergeCell ref="A35:I35"/>
    <mergeCell ref="A42:I42"/>
    <mergeCell ref="A48:I48"/>
    <mergeCell ref="A58:I58"/>
  </mergeCells>
  <dataValidations>
    <dataValidation type="list" allowBlank="1" showErrorMessage="1" sqref="C2:C14">
      <formula1>"NUJ 9C55,-"</formula1>
    </dataValidation>
    <dataValidation type="list" allowBlank="1" showErrorMessage="1" sqref="C16:C19 C23:C24 C27:C32 C36:C40 C43:C46 C49:C56 C59:C68 C72:C99 C104:C105">
      <formula1>"NUJ 9C55,ROD 9C57,RON9A11,-"</formula1>
    </dataValidation>
    <dataValidation type="list" allowBlank="1" showErrorMessage="1" sqref="B2:B14 B16:B19 B23:B24 B27:B32 B36:B40 B43:B46 B49:B56 B59:B68 B72:B99 B104:B105">
      <formula1>"FRONTIER,-,TIGGO 5X"</formula1>
    </dataValidation>
    <dataValidation type="list" allowBlank="1" showErrorMessage="1" sqref="M14 M21 M25 M34 M41 M46 M57 M70 M102">
      <formula1>"SIM,NÃO"</formula1>
    </dataValidation>
    <dataValidation type="list" allowBlank="1" showErrorMessage="1" sqref="D2:D14 D16:D19 D23:D24 D27:D32 D36:D40 D43:D46 D49:D56 D59:D68 D72:D99 D104:D105">
      <formula1>"PONTA DA ESPERA,CUJUPE"</formula1>
    </dataValidation>
    <dataValidation type="list" allowBlank="1" showErrorMessage="1" sqref="L14 L21 L25 L34 L41 L46 L57 L70 L102">
      <formula1>"PAGO,EM ABERTO"</formula1>
    </dataValidation>
  </dataValidations>
  <hyperlinks>
    <hyperlink r:id="rId1" ref="O7"/>
  </hyperlinks>
  <drawing r:id="rId2"/>
</worksheet>
</file>